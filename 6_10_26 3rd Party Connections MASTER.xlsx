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etnao365-my.sharepoint.com/personal/eric_lang_cvshealth_com/Documents/"/>
    </mc:Choice>
  </mc:AlternateContent>
  <xr:revisionPtr revIDLastSave="9" documentId="8_{C51C2109-8619-481A-A1AF-2A7AC49253AC}" xr6:coauthVersionLast="47" xr6:coauthVersionMax="47" xr10:uidLastSave="{C306CD07-9C26-4C99-9C04-606FB5643BAF}"/>
  <bookViews>
    <workbookView xWindow="-110" yWindow="-110" windowWidth="19420" windowHeight="11500" xr2:uid="{230BA0A7-316F-4B81-A304-9618B835164A}"/>
  </bookViews>
  <sheets>
    <sheet name="Status Information" sheetId="2" r:id="rId1"/>
    <sheet name="Connections" sheetId="1" r:id="rId2"/>
  </sheets>
  <definedNames>
    <definedName name="_xlnm._FilterDatabase" localSheetId="1" hidden="1">Connections!$AD$1:$AD$462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631" i="1" l="1"/>
  <c r="AD630" i="1"/>
  <c r="AD629" i="1"/>
  <c r="AD628" i="1"/>
  <c r="AD627" i="1"/>
  <c r="AD626" i="1"/>
  <c r="AD625" i="1"/>
  <c r="AD624" i="1"/>
  <c r="AD623" i="1"/>
  <c r="AD622" i="1"/>
  <c r="AD621" i="1"/>
  <c r="AD620" i="1"/>
  <c r="AD619" i="1"/>
  <c r="AD618" i="1"/>
  <c r="AD617" i="1"/>
  <c r="AD616" i="1"/>
  <c r="AD615" i="1"/>
  <c r="AD614" i="1"/>
  <c r="AD613" i="1"/>
  <c r="AD612" i="1"/>
  <c r="AD611" i="1"/>
  <c r="AD610" i="1"/>
  <c r="AD609" i="1"/>
  <c r="AD608" i="1"/>
  <c r="AD607" i="1"/>
  <c r="AD606" i="1"/>
  <c r="AD605" i="1"/>
  <c r="AD604" i="1"/>
  <c r="AD603" i="1"/>
  <c r="AD602" i="1"/>
  <c r="AD601" i="1"/>
  <c r="AD600" i="1"/>
  <c r="AD599" i="1"/>
  <c r="AD598" i="1"/>
  <c r="AD597" i="1"/>
  <c r="AD596" i="1"/>
  <c r="AD595" i="1"/>
  <c r="AD594" i="1"/>
  <c r="AD593" i="1"/>
  <c r="AD592" i="1"/>
  <c r="AD591" i="1"/>
  <c r="AD590" i="1"/>
  <c r="AD589" i="1"/>
  <c r="AD588" i="1"/>
  <c r="AD587" i="1"/>
  <c r="AD586" i="1"/>
  <c r="AD585" i="1"/>
  <c r="AD584" i="1"/>
  <c r="AD583" i="1"/>
  <c r="AD582" i="1"/>
  <c r="AD581" i="1"/>
  <c r="AD580" i="1"/>
  <c r="AD579" i="1"/>
  <c r="AD578" i="1"/>
  <c r="AD577" i="1"/>
  <c r="AD576" i="1"/>
  <c r="AD575" i="1"/>
  <c r="AD574" i="1"/>
  <c r="AD573" i="1"/>
  <c r="AD572" i="1"/>
  <c r="AD571" i="1"/>
  <c r="AD570" i="1"/>
  <c r="AD569" i="1"/>
  <c r="AD568" i="1"/>
  <c r="AD567" i="1"/>
  <c r="AD566" i="1"/>
  <c r="AD565" i="1"/>
  <c r="AD564" i="1"/>
  <c r="AD563" i="1"/>
  <c r="AD562" i="1"/>
  <c r="AD561" i="1"/>
  <c r="AD560" i="1"/>
  <c r="AD559" i="1"/>
  <c r="AD558" i="1"/>
  <c r="AD557" i="1"/>
  <c r="AD556" i="1"/>
  <c r="AD555" i="1"/>
  <c r="AD554" i="1"/>
  <c r="AD553" i="1"/>
  <c r="AD552" i="1"/>
  <c r="AD551" i="1"/>
  <c r="AD550" i="1"/>
  <c r="AD549" i="1"/>
  <c r="AD548" i="1"/>
  <c r="AD547" i="1"/>
  <c r="AD546" i="1"/>
  <c r="AD545" i="1"/>
  <c r="AD544" i="1"/>
  <c r="AD543" i="1"/>
  <c r="AD542" i="1"/>
  <c r="AD541" i="1"/>
  <c r="AD540" i="1"/>
  <c r="AD539" i="1"/>
  <c r="AD538" i="1"/>
  <c r="AD537" i="1"/>
  <c r="AD536" i="1"/>
  <c r="AD535" i="1"/>
  <c r="AD534" i="1"/>
  <c r="AD533" i="1"/>
  <c r="AD532" i="1"/>
  <c r="AD531" i="1"/>
  <c r="AD530" i="1"/>
  <c r="AD529" i="1"/>
  <c r="AD528" i="1"/>
  <c r="AD527" i="1"/>
  <c r="AD526" i="1"/>
  <c r="AD525" i="1"/>
  <c r="AD524" i="1"/>
  <c r="AD523" i="1"/>
  <c r="AD522" i="1"/>
  <c r="AD521" i="1"/>
  <c r="AD520" i="1"/>
  <c r="AD519" i="1"/>
  <c r="AD518" i="1"/>
  <c r="AD517" i="1"/>
  <c r="AD516" i="1"/>
  <c r="AD515" i="1"/>
  <c r="AD514" i="1"/>
  <c r="AD513" i="1"/>
  <c r="AD512" i="1"/>
  <c r="AD511" i="1"/>
  <c r="AD510" i="1"/>
  <c r="AD509" i="1"/>
  <c r="AD508" i="1"/>
  <c r="AD507" i="1"/>
  <c r="AD506" i="1"/>
  <c r="AD505" i="1"/>
  <c r="AD504" i="1"/>
  <c r="AD503" i="1"/>
  <c r="AD502" i="1"/>
  <c r="AD501" i="1"/>
  <c r="AD500" i="1"/>
  <c r="AD499" i="1"/>
  <c r="AD498" i="1"/>
  <c r="AD497" i="1"/>
  <c r="AD496" i="1"/>
  <c r="AD495" i="1"/>
  <c r="AD494" i="1"/>
  <c r="AD493" i="1"/>
  <c r="AD492" i="1"/>
  <c r="AD491" i="1"/>
  <c r="AD490" i="1"/>
  <c r="AD489" i="1"/>
  <c r="AD488" i="1"/>
  <c r="AD487" i="1"/>
  <c r="AD486" i="1"/>
  <c r="AD485" i="1"/>
  <c r="AD484" i="1"/>
  <c r="AD483" i="1"/>
  <c r="AD482" i="1"/>
  <c r="AD481" i="1"/>
  <c r="AD480" i="1"/>
  <c r="AD479" i="1"/>
  <c r="AD478" i="1"/>
  <c r="AD477" i="1"/>
  <c r="AD476" i="1"/>
  <c r="AD475" i="1"/>
  <c r="AD474" i="1"/>
  <c r="AD473" i="1"/>
  <c r="AD472" i="1"/>
  <c r="AD471" i="1"/>
  <c r="AD470" i="1"/>
  <c r="AD469" i="1"/>
  <c r="AD468" i="1"/>
  <c r="AD467" i="1"/>
  <c r="AD466" i="1"/>
  <c r="AD465" i="1"/>
  <c r="AD464" i="1"/>
  <c r="AD463" i="1"/>
  <c r="AD462" i="1"/>
  <c r="AD461" i="1"/>
  <c r="AD460" i="1"/>
  <c r="AD459" i="1"/>
  <c r="AD458" i="1"/>
  <c r="AD457" i="1"/>
  <c r="AD456" i="1"/>
  <c r="AD455" i="1"/>
  <c r="AD454" i="1"/>
  <c r="AD453" i="1"/>
  <c r="AD452" i="1"/>
  <c r="AD451" i="1"/>
  <c r="AD450" i="1"/>
  <c r="AD449" i="1"/>
  <c r="AD448" i="1"/>
  <c r="AD447" i="1"/>
  <c r="AD446" i="1"/>
  <c r="AD445" i="1"/>
  <c r="AD444" i="1"/>
  <c r="AD443" i="1"/>
  <c r="AD442" i="1"/>
  <c r="AD441" i="1"/>
  <c r="AD440" i="1"/>
  <c r="AD439" i="1"/>
  <c r="AD438" i="1"/>
  <c r="AD437" i="1"/>
  <c r="AD436" i="1"/>
  <c r="AD435" i="1"/>
  <c r="AD434" i="1"/>
  <c r="AD433" i="1"/>
  <c r="AD432" i="1"/>
  <c r="AD431" i="1"/>
  <c r="AD430" i="1"/>
  <c r="AD429" i="1"/>
  <c r="AD428" i="1"/>
  <c r="AD427" i="1"/>
  <c r="AD426" i="1"/>
  <c r="AD425" i="1"/>
  <c r="AD424" i="1"/>
  <c r="AD423" i="1"/>
  <c r="AD422" i="1"/>
  <c r="AD421" i="1"/>
  <c r="AD420" i="1"/>
  <c r="AD419" i="1"/>
  <c r="AD418" i="1"/>
  <c r="AD417" i="1"/>
  <c r="AD416" i="1"/>
  <c r="AD415" i="1"/>
  <c r="AD414" i="1"/>
  <c r="AD413" i="1"/>
  <c r="AD412" i="1"/>
  <c r="AD411" i="1"/>
  <c r="AD410" i="1"/>
  <c r="AD409" i="1"/>
  <c r="AD408" i="1"/>
  <c r="AD407" i="1"/>
  <c r="AD406" i="1"/>
  <c r="AD405" i="1"/>
  <c r="AD404" i="1"/>
  <c r="AD403" i="1"/>
  <c r="AD402" i="1"/>
  <c r="AD401" i="1"/>
  <c r="AD400" i="1"/>
  <c r="AD399" i="1"/>
  <c r="AD398" i="1"/>
  <c r="AD397" i="1"/>
  <c r="AD396" i="1"/>
  <c r="AD395" i="1"/>
  <c r="AD394" i="1"/>
  <c r="AD393" i="1"/>
  <c r="AD392" i="1"/>
  <c r="AD391" i="1"/>
  <c r="AD390" i="1"/>
  <c r="AD389" i="1"/>
  <c r="AD388" i="1"/>
  <c r="AD387" i="1"/>
  <c r="AD386" i="1"/>
  <c r="AD385" i="1"/>
  <c r="AD384" i="1"/>
  <c r="AD383" i="1"/>
  <c r="AD382" i="1"/>
  <c r="AD381" i="1"/>
  <c r="AD380" i="1"/>
  <c r="AD379" i="1"/>
  <c r="AD378" i="1"/>
  <c r="AD377" i="1"/>
  <c r="AD376" i="1"/>
  <c r="AD375" i="1"/>
  <c r="AD374" i="1"/>
  <c r="AD373" i="1"/>
  <c r="AD372" i="1"/>
  <c r="AD371" i="1"/>
  <c r="AD370" i="1"/>
  <c r="AD369" i="1"/>
  <c r="AD368" i="1"/>
  <c r="AD367" i="1"/>
  <c r="AD366" i="1"/>
  <c r="AD365" i="1"/>
  <c r="AD364" i="1"/>
  <c r="AD363" i="1"/>
  <c r="AD362" i="1"/>
  <c r="AD361" i="1"/>
  <c r="AD360" i="1"/>
  <c r="AD359" i="1"/>
  <c r="AD358" i="1"/>
  <c r="AD357" i="1"/>
  <c r="AD356" i="1"/>
  <c r="AD355" i="1"/>
  <c r="AD354" i="1"/>
  <c r="AD353" i="1"/>
  <c r="AD352" i="1"/>
  <c r="AD351" i="1"/>
  <c r="AD350" i="1"/>
  <c r="AD349" i="1"/>
  <c r="AD348" i="1"/>
  <c r="AD347" i="1"/>
  <c r="AD346" i="1"/>
  <c r="AD345" i="1"/>
  <c r="AD344" i="1"/>
  <c r="AD343" i="1"/>
  <c r="AD342" i="1"/>
  <c r="AD341" i="1"/>
  <c r="AD340" i="1"/>
  <c r="AD339" i="1"/>
  <c r="AD338" i="1"/>
  <c r="AD337" i="1"/>
  <c r="AD336" i="1"/>
  <c r="AD335" i="1"/>
  <c r="AD334" i="1"/>
  <c r="AD333" i="1"/>
  <c r="AD332" i="1"/>
  <c r="AD331" i="1"/>
  <c r="AD330" i="1"/>
  <c r="AD329" i="1"/>
  <c r="AD328" i="1"/>
  <c r="AD327" i="1"/>
  <c r="AD326" i="1"/>
  <c r="AD325" i="1"/>
  <c r="AD324" i="1"/>
  <c r="AD323" i="1"/>
  <c r="AD322" i="1"/>
  <c r="AD321" i="1"/>
  <c r="AD320" i="1"/>
  <c r="AD319" i="1"/>
  <c r="AD318" i="1"/>
  <c r="AD317" i="1"/>
  <c r="AD316" i="1"/>
  <c r="AD315" i="1"/>
  <c r="AD314" i="1"/>
  <c r="AD313" i="1"/>
  <c r="AD312" i="1"/>
  <c r="AD311" i="1"/>
  <c r="AD310" i="1"/>
  <c r="AD309" i="1"/>
  <c r="AD308" i="1"/>
  <c r="AD307" i="1"/>
  <c r="AD306" i="1"/>
  <c r="AD305" i="1"/>
  <c r="AD304" i="1"/>
  <c r="AD303" i="1"/>
  <c r="AD302" i="1"/>
  <c r="AD301" i="1"/>
  <c r="AD300" i="1"/>
  <c r="AD299" i="1"/>
  <c r="AD298" i="1"/>
  <c r="AD297" i="1"/>
  <c r="AD296" i="1"/>
  <c r="AD295" i="1"/>
  <c r="AD294" i="1"/>
  <c r="AD293" i="1"/>
  <c r="AD292" i="1"/>
  <c r="AD291" i="1"/>
  <c r="AD290" i="1"/>
  <c r="AD289" i="1"/>
  <c r="AD288" i="1"/>
  <c r="AD287" i="1"/>
  <c r="AD286" i="1"/>
  <c r="AD285" i="1"/>
  <c r="AD284" i="1"/>
  <c r="AD283" i="1"/>
  <c r="AD282" i="1"/>
  <c r="AD281" i="1"/>
  <c r="AD280" i="1"/>
  <c r="AD279" i="1"/>
  <c r="AD278" i="1"/>
  <c r="AD277" i="1"/>
  <c r="AD276" i="1"/>
  <c r="AD275" i="1"/>
  <c r="AD274" i="1"/>
  <c r="AD273" i="1"/>
  <c r="AD272" i="1"/>
  <c r="AD271" i="1"/>
  <c r="AD270" i="1"/>
  <c r="AD269" i="1"/>
  <c r="AD268" i="1"/>
  <c r="AD267" i="1"/>
  <c r="AD266" i="1"/>
  <c r="AD265" i="1"/>
  <c r="AD264" i="1"/>
  <c r="AD263" i="1"/>
  <c r="AD262" i="1"/>
  <c r="AD261" i="1"/>
  <c r="AD260" i="1"/>
  <c r="AD259" i="1"/>
  <c r="AD258" i="1"/>
  <c r="AD257" i="1"/>
  <c r="AD256" i="1"/>
  <c r="AD255" i="1"/>
  <c r="AD254" i="1"/>
  <c r="AD253" i="1"/>
  <c r="AD252" i="1"/>
  <c r="AD251" i="1"/>
  <c r="AD250" i="1"/>
  <c r="AD249" i="1"/>
  <c r="AD248" i="1"/>
  <c r="AD247" i="1"/>
  <c r="AD246" i="1"/>
  <c r="AD245" i="1"/>
  <c r="AD244" i="1"/>
  <c r="AD243" i="1"/>
  <c r="AD242" i="1"/>
  <c r="AD241" i="1"/>
  <c r="AD240" i="1"/>
  <c r="AD239" i="1"/>
  <c r="AD238" i="1"/>
  <c r="AD237" i="1"/>
  <c r="AD236" i="1"/>
  <c r="AD235" i="1"/>
  <c r="AD234" i="1"/>
  <c r="AD233" i="1"/>
  <c r="AD232" i="1"/>
  <c r="AD231" i="1"/>
  <c r="AD230" i="1"/>
  <c r="AD229" i="1"/>
  <c r="AD228" i="1"/>
  <c r="AD227" i="1"/>
  <c r="AD226" i="1"/>
  <c r="AD225" i="1"/>
  <c r="AD224" i="1"/>
  <c r="AD223" i="1"/>
  <c r="AD222" i="1"/>
  <c r="AD221" i="1"/>
  <c r="AD220" i="1"/>
  <c r="AD219" i="1"/>
  <c r="AD218" i="1"/>
  <c r="AD217" i="1"/>
  <c r="AD216" i="1"/>
  <c r="AD215" i="1"/>
  <c r="AD214" i="1"/>
  <c r="AD213" i="1"/>
  <c r="AD212" i="1"/>
  <c r="AD211" i="1"/>
  <c r="AD210" i="1"/>
  <c r="AD209" i="1"/>
  <c r="AD208" i="1"/>
  <c r="AD207" i="1"/>
  <c r="AD206" i="1"/>
  <c r="AD205" i="1"/>
  <c r="AD204" i="1"/>
  <c r="AD203" i="1"/>
  <c r="AD202" i="1"/>
  <c r="AD201" i="1"/>
  <c r="AD200" i="1"/>
  <c r="AD199" i="1"/>
  <c r="AD198" i="1"/>
  <c r="AD197" i="1"/>
  <c r="AD196" i="1"/>
  <c r="AD195" i="1"/>
  <c r="AD194" i="1"/>
  <c r="AD193" i="1"/>
  <c r="AD192" i="1"/>
  <c r="AD191" i="1"/>
  <c r="AD190" i="1"/>
  <c r="AD189" i="1"/>
  <c r="AD188" i="1"/>
  <c r="AD187" i="1"/>
  <c r="AD186" i="1"/>
  <c r="AD185" i="1"/>
  <c r="AD184" i="1"/>
  <c r="AD183" i="1"/>
  <c r="AD182" i="1"/>
  <c r="AD181" i="1"/>
  <c r="AD180" i="1"/>
  <c r="AD179" i="1"/>
  <c r="AD178" i="1"/>
  <c r="AD177" i="1"/>
  <c r="AD176" i="1"/>
  <c r="AD175" i="1"/>
  <c r="AD174" i="1"/>
  <c r="AD173" i="1"/>
  <c r="AD172" i="1"/>
  <c r="AD171" i="1"/>
  <c r="AD170" i="1"/>
  <c r="AD169" i="1"/>
  <c r="AD168" i="1"/>
  <c r="AD167" i="1"/>
  <c r="AD166" i="1"/>
  <c r="AD165" i="1"/>
  <c r="AD164" i="1"/>
  <c r="AD163" i="1"/>
  <c r="AD162" i="1"/>
  <c r="AD161" i="1"/>
  <c r="AD160" i="1"/>
  <c r="AD159" i="1"/>
  <c r="AD158" i="1"/>
  <c r="AD157" i="1"/>
  <c r="AD156" i="1"/>
  <c r="AD155" i="1"/>
  <c r="AD154" i="1"/>
  <c r="AD153" i="1"/>
  <c r="AD152" i="1"/>
  <c r="AD151" i="1"/>
  <c r="AD150" i="1"/>
  <c r="AD149" i="1"/>
  <c r="AD148" i="1"/>
  <c r="AD147" i="1"/>
  <c r="AD146" i="1"/>
  <c r="AD145" i="1"/>
  <c r="AD144" i="1"/>
  <c r="AD143" i="1"/>
  <c r="AD142" i="1"/>
  <c r="AD141" i="1"/>
  <c r="AD140" i="1"/>
  <c r="AD139" i="1"/>
  <c r="AD138" i="1"/>
  <c r="AD137" i="1"/>
  <c r="AD136" i="1"/>
  <c r="AD135" i="1"/>
  <c r="AD134" i="1"/>
  <c r="AD133" i="1"/>
  <c r="AD132" i="1"/>
  <c r="AD131" i="1"/>
  <c r="AD130" i="1"/>
  <c r="AD129" i="1"/>
  <c r="AD128" i="1"/>
  <c r="AD127" i="1"/>
  <c r="AD126" i="1"/>
  <c r="AD125" i="1"/>
  <c r="AD124" i="1"/>
  <c r="AD123" i="1"/>
  <c r="AD122" i="1"/>
  <c r="AD121" i="1"/>
  <c r="AD120" i="1"/>
  <c r="AD119" i="1"/>
  <c r="AD118" i="1"/>
  <c r="AD117" i="1"/>
  <c r="AD116" i="1"/>
  <c r="AD115" i="1"/>
  <c r="AD114" i="1"/>
  <c r="AD113" i="1"/>
  <c r="AD112" i="1"/>
  <c r="AD111" i="1"/>
  <c r="AD110" i="1"/>
  <c r="AD109" i="1"/>
  <c r="AD108" i="1"/>
  <c r="AD107" i="1"/>
  <c r="AD106" i="1"/>
  <c r="AD105" i="1"/>
  <c r="AD104" i="1"/>
  <c r="AD103" i="1"/>
  <c r="AD102" i="1"/>
  <c r="AD101" i="1"/>
  <c r="AD100" i="1"/>
  <c r="AD99" i="1"/>
  <c r="AD98" i="1"/>
  <c r="AD97" i="1"/>
  <c r="AD96" i="1"/>
  <c r="AD95" i="1"/>
  <c r="AD94" i="1"/>
  <c r="AD93" i="1"/>
  <c r="AD92" i="1"/>
  <c r="AD91" i="1"/>
  <c r="AD90" i="1"/>
  <c r="AD89" i="1"/>
  <c r="AD88" i="1"/>
  <c r="AD87" i="1"/>
  <c r="AD86" i="1"/>
  <c r="AD85" i="1"/>
  <c r="AD84" i="1"/>
  <c r="AD83" i="1"/>
  <c r="AD82" i="1"/>
  <c r="AD81" i="1"/>
  <c r="AD80" i="1"/>
  <c r="AD79" i="1"/>
  <c r="AD78" i="1"/>
  <c r="AD77" i="1"/>
  <c r="AD76" i="1"/>
  <c r="AD75" i="1"/>
  <c r="AD74" i="1"/>
  <c r="AD73" i="1"/>
  <c r="AD72" i="1"/>
  <c r="AD71" i="1"/>
  <c r="AD70" i="1"/>
  <c r="AD69" i="1"/>
  <c r="AD68" i="1"/>
  <c r="AD67" i="1"/>
  <c r="AD66" i="1"/>
  <c r="AD65" i="1"/>
  <c r="AD64" i="1"/>
  <c r="AD63" i="1"/>
  <c r="AD62" i="1"/>
  <c r="AD61" i="1"/>
  <c r="AD60" i="1"/>
  <c r="AD59" i="1"/>
  <c r="AD58" i="1"/>
  <c r="AD57" i="1"/>
  <c r="AD56" i="1"/>
  <c r="AD55" i="1"/>
  <c r="AD54" i="1"/>
  <c r="AD53" i="1"/>
  <c r="AD52" i="1"/>
  <c r="AD51" i="1"/>
  <c r="AD50" i="1"/>
  <c r="AD4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D13" i="1"/>
  <c r="AD12" i="1"/>
  <c r="AD11" i="1"/>
  <c r="AD10" i="1"/>
  <c r="AD9" i="1"/>
  <c r="AD8" i="1"/>
  <c r="AD7" i="1"/>
  <c r="AD6" i="1"/>
  <c r="AD5" i="1"/>
  <c r="AD4" i="1"/>
  <c r="AD3" i="1"/>
  <c r="AD2" i="1"/>
  <c r="AG2" i="1" l="1"/>
  <c r="AE2" i="1"/>
  <c r="AF2" i="1"/>
</calcChain>
</file>

<file path=xl/sharedStrings.xml><?xml version="1.0" encoding="utf-8"?>
<sst xmlns="http://schemas.openxmlformats.org/spreadsheetml/2006/main" count="8867" uniqueCount="3547">
  <si>
    <t>Connection Type</t>
  </si>
  <si>
    <t>Location</t>
  </si>
  <si>
    <t>Retail/PSS</t>
  </si>
  <si>
    <t>Device</t>
  </si>
  <si>
    <t>Partner Name</t>
  </si>
  <si>
    <t>Phase</t>
  </si>
  <si>
    <t>Tunnel Status</t>
  </si>
  <si>
    <t>Previous Status</t>
  </si>
  <si>
    <t>Partner Peer IP</t>
  </si>
  <si>
    <t>CVS/Caremark Peer IP</t>
  </si>
  <si>
    <t>IKE version</t>
  </si>
  <si>
    <t>CVS/Aetna Business Owner Contact</t>
  </si>
  <si>
    <t>Email Tracker</t>
  </si>
  <si>
    <t>Response Tracker</t>
  </si>
  <si>
    <t>Partner Contact</t>
  </si>
  <si>
    <t>Inbound/Outbound</t>
  </si>
  <si>
    <t>Resource Accessed</t>
  </si>
  <si>
    <t>Primary, Backup B2B VPN, Redundant, or Failover</t>
  </si>
  <si>
    <t>EQ Rack #</t>
  </si>
  <si>
    <t>EQ Type</t>
  </si>
  <si>
    <t>Circuit #/Patch #</t>
  </si>
  <si>
    <t>DBU/CSU Info (ISDN or dial)</t>
  </si>
  <si>
    <t>Tester</t>
  </si>
  <si>
    <t>Checkout Person</t>
  </si>
  <si>
    <t>Information Capture Date</t>
  </si>
  <si>
    <t>Vendor/Client</t>
  </si>
  <si>
    <t>ConnectionKey</t>
  </si>
  <si>
    <t>Notes</t>
  </si>
  <si>
    <t>Email Count</t>
  </si>
  <si>
    <t># of Initial Emails Sent</t>
  </si>
  <si>
    <t># of Total Emails Sent</t>
  </si>
  <si>
    <t># of Follow Ups Sent</t>
  </si>
  <si>
    <t>VPN</t>
  </si>
  <si>
    <t>Shea</t>
  </si>
  <si>
    <t>ABSG (AmerisourceBergen Specialty Group)</t>
  </si>
  <si>
    <t>Blocked</t>
  </si>
  <si>
    <t>Inactive</t>
  </si>
  <si>
    <t>04.Contact w/Vendor/Client unsuccessful</t>
  </si>
  <si>
    <t>66.192.173.201</t>
  </si>
  <si>
    <t>204.99.19.73</t>
  </si>
  <si>
    <t>IKEv1/v2</t>
  </si>
  <si>
    <t>ABSG (AMERISOURCEBERGEN SPECIALTY GROUP) | VPN | 66.192.173.201 | SHEA</t>
  </si>
  <si>
    <t>-Crypto ACL: Outside_cryptomap_62
Cipher: ESP-AES-128-MD5
PFS Group: None
SA Lifetime: Default,Engineering team may have the details .</t>
  </si>
  <si>
    <t>abtg</t>
  </si>
  <si>
    <t>208.44.232.50</t>
  </si>
  <si>
    <t>204.99.19.23(OLD ASA DEVICE)</t>
  </si>
  <si>
    <t>ABTG | VPN | 208.44.232.50 | SHEA</t>
  </si>
  <si>
    <t>-Group Policy: abtg-automed
Crypto ACL: Outside_cryptomap_77
Cipher: ESP-AES-256-SHA
PFS Group: None
SA Lifetime: 1h,Engineering team may have the details .</t>
  </si>
  <si>
    <t>WDC</t>
  </si>
  <si>
    <t>win-fw-vpn2</t>
  </si>
  <si>
    <t>21vianet-primary</t>
  </si>
  <si>
    <t>Not Started</t>
  </si>
  <si>
    <t>not active</t>
  </si>
  <si>
    <t>180.169.94.2</t>
  </si>
  <si>
    <t>206.213.209.41</t>
  </si>
  <si>
    <t>ikev1</t>
  </si>
  <si>
    <t xml:space="preserve">Jason Zhang  /  Steve Zhang </t>
  </si>
  <si>
    <t>jin.lei-ts@21vianet.com  chang.lei@21vianet.com Yozi.Zhang-ts@21vianet.com</t>
  </si>
  <si>
    <t>Outbound</t>
  </si>
  <si>
    <t>China data center connectivity</t>
  </si>
  <si>
    <t>Backup B2B Connection</t>
  </si>
  <si>
    <t>21VIANET-PRIMARY | VPN | WIN-FW-VPN2 | 180.169.94.2 | WDC</t>
  </si>
  <si>
    <t>abf-emdeon</t>
  </si>
  <si>
    <t>170.138.220.13</t>
  </si>
  <si>
    <t>Black, Edward B; Plourde, Shirley F; Miller, Debra L; Weatherall, Mia</t>
  </si>
  <si>
    <t>commandcenter@emdeon.com bmmoore@emdeon.com</t>
  </si>
  <si>
    <t>Inbound</t>
  </si>
  <si>
    <t>accessa.aetna.com connection</t>
  </si>
  <si>
    <t>ABF-EMDEON | VPN | WIN-FW-VPN2 | 170.138.220.13 | WDC</t>
  </si>
  <si>
    <t>MPLS</t>
  </si>
  <si>
    <t>MDC</t>
  </si>
  <si>
    <t>Mid-ds-L3-EDMZ-1 2/0/6</t>
  </si>
  <si>
    <t>Ability-AT&amp;T-IVANS-AGNS-EVPN MPLS</t>
  </si>
  <si>
    <t>Follow Up Sent</t>
  </si>
  <si>
    <t>206.213.202.38</t>
  </si>
  <si>
    <t>Tony Jagielski 215-775-2065, Stan Raymond 860-273-5565 raymonds@aetna.com</t>
  </si>
  <si>
    <t>4/29 initial outreach
5/8 Eric sent follow up as there was no previous reply</t>
  </si>
  <si>
    <t>AGNS Help Desk
800-727-2222   ABILITY
Technical Support team at 888.460.4310, Monday-Friday, 7am-7pm., Lisa.Marino@ABILITYnetwork.com</t>
  </si>
  <si>
    <t>Redundant Connection in Windsor</t>
  </si>
  <si>
    <t>N43</t>
  </si>
  <si>
    <t>Cisco 1841</t>
  </si>
  <si>
    <t>DHEC464526/ HCGS771687</t>
  </si>
  <si>
    <t>Paradyne Imarc 860-704-8303</t>
  </si>
  <si>
    <t>ABILITY-AT&amp;T-IVANS-AGNS-EVPN MPLS | MPLS | MID-DS-L3-EDMZ-1 2/0/6 | 206.213.202.38 | MDC</t>
  </si>
  <si>
    <t>win-ds-l2-edmz-1 2/0/6</t>
  </si>
  <si>
    <t>Ability-AT&amp;T-IVANS-AGNS-EVPN MPLS-CMS</t>
  </si>
  <si>
    <t xml:space="preserve">  ping 206.213.208.38</t>
  </si>
  <si>
    <t>ABILITY Partner Support         
Partner.Support@Abilitynetwork.com                 
888-886-2096                                                     AGNS Help Desk
800-727-2222   ABILITY
Technical Support team at 888.460.4310, Monday-Friday, 7am-7pm., Lisa.Marino@ABILITYnetwork.com;Tory.Nelson@abilitynetwork.com;</t>
  </si>
  <si>
    <t>Redundant Connection in Middletown</t>
  </si>
  <si>
    <t>N54</t>
  </si>
  <si>
    <t>DHEC152328  MFEC739399</t>
  </si>
  <si>
    <t>Paradyne IMARC CSU                      Dial-up 860-298-6876</t>
  </si>
  <si>
    <t>Call AT&amp;T/IVANS/AGNS to have them test.</t>
  </si>
  <si>
    <t>AT&amp;T case # 00698180 Project Number: ESR16090809945
eOrder Number: 16E175751
 Stan Raymond 860-273-5565 raymonds@aetna.com</t>
  </si>
  <si>
    <t>ABILITY-AT&amp;T-IVANS-AGNS-EVPN MPLS-CMS | MPLS | WIN-DS-L2-EDMZ-1 2/0/6 | PING 206.213.208.38 | WDC</t>
  </si>
  <si>
    <t>Aspect</t>
  </si>
  <si>
    <t>B</t>
  </si>
  <si>
    <t>63.97.171.84</t>
  </si>
  <si>
    <t>12.46.119.234,204.99.19.73(Current/New Device)</t>
  </si>
  <si>
    <t>ASPECT | VPN | 63.97.171.84 | SHEA</t>
  </si>
  <si>
    <t>Crypto ACL: Outside_cryptomap_145
Cipher: ESP-AES-256-SHA
PFS Group: None
SA Lifetime: 1h</t>
  </si>
  <si>
    <t>mid-fw-vpn1</t>
  </si>
  <si>
    <t>accent</t>
  </si>
  <si>
    <t>Decommissioned</t>
  </si>
  <si>
    <t>SHUT 11/05/2018 - CHG0104272</t>
  </si>
  <si>
    <t xml:space="preserve">75.78.32.164 </t>
  </si>
  <si>
    <t>206.213.251.29</t>
  </si>
  <si>
    <t>Colin Gallagher GallagherC@AETNA.com</t>
  </si>
  <si>
    <t xml:space="preserve">Jamie Foster  678-742-6733|76733 |jmfoster@west.com 678-984-5247 (C) </t>
  </si>
  <si>
    <t>accessa.aetna.com</t>
  </si>
  <si>
    <t>primary</t>
  </si>
  <si>
    <t>ACCENT | VPN | MID-FW-VPN1 | 75.78.32.164 | MDC</t>
  </si>
  <si>
    <t>4/21 - Determined Decommissioned due to Tunnel Status = SHUT</t>
  </si>
  <si>
    <t>Accenture - Fusion</t>
  </si>
  <si>
    <t>213.212.122.204</t>
  </si>
  <si>
    <t>Lori Carter &lt;CarterLD@aetna.com&gt;</t>
  </si>
  <si>
    <t>TfO UK NOC &lt;TGPBPO.UK.NOC@accenture.com&gt;, Fuerte, Dannielyn D. &lt;dannielyn.d.fuerte@accenture.com&gt; Dagar, Ashish &lt;ashish.dagar@accenture.com; jagadish.krish@accenture.com</t>
  </si>
  <si>
    <t>Accenture Fusion app in UK.  https://fusion.accenture.com/IntermixEntry/</t>
  </si>
  <si>
    <t>Primary or only B2B Connection</t>
  </si>
  <si>
    <t>ACCENTURE - FUSION | VPN | WIN-FW-VPN2 | 213.212.122.204 | WDC</t>
  </si>
  <si>
    <t>mid-fw-vpn2</t>
  </si>
  <si>
    <t>acceptto</t>
  </si>
  <si>
    <t>52.43.99.198</t>
  </si>
  <si>
    <t>206.213.251.41</t>
  </si>
  <si>
    <t>Brian Heemsoth</t>
  </si>
  <si>
    <t>4/27 Email sent to partner to begin communication as no CVS contact was found in directory
5/8 Eric sent follow up as there was no previous reply</t>
  </si>
  <si>
    <t>Support@acccepto.com/ christopher.chin@aceceptto.co/dieter@accepto.com</t>
  </si>
  <si>
    <t xml:space="preserve">API </t>
  </si>
  <si>
    <t>ACCEPTTO | VPN | MID-FW-VPN2 | 52.43.99.198 | MDC</t>
  </si>
  <si>
    <t>accolade</t>
  </si>
  <si>
    <t>Active as of Jan  2025</t>
  </si>
  <si>
    <t>52.44.178.108</t>
  </si>
  <si>
    <t>ikev2</t>
  </si>
  <si>
    <t>Delage, Janet - Janet.Delage@accolade.com
Iyer, Lisa - Lisa.Iyer@accolade.com
Julianne, Rowan - Julianne.Rowan@accolade.com</t>
  </si>
  <si>
    <t>ACCOLADE | VPN | MID-FW-VPN2 | 52.44.178.108 | MDC</t>
  </si>
  <si>
    <t xml:space="preserve">ACI (Administrative Concepts, Inc.) </t>
  </si>
  <si>
    <t>Confirmed Active</t>
  </si>
  <si>
    <t>192.122.149.9</t>
  </si>
  <si>
    <t>Michelle L Palkanikos - PalacioML@cvshealth.com
Jaylynn Keener - KeenerJ@aetna.com</t>
  </si>
  <si>
    <t>6/2 - Initial CVS email
6/8 at 3:30pm - Parsia replied back asking if they can provide more info on the connection</t>
  </si>
  <si>
    <t>6/3 at 1:59pm - Michelle added Kortney Rockwell and Gabriella Johnson to identify the connection.
6/3 at 6:56pm - Kortney checked the DB and did not find the contact. Thinks they may be under Aetna International. Added Jaylynn to confirm.
6/5 at 4:33pm - Jaylynn confirmed ACI is a customer in Passport to Healthcare.</t>
  </si>
  <si>
    <t>Mark Hitchcock 
610-293-9229 x142
mhitchcock@visit-aci.com</t>
  </si>
  <si>
    <t>Inbound and Outbound</t>
  </si>
  <si>
    <t>ACI (ADMINISTRATIVE CONCEPTS, INC.) | VPN | MID-FW-VPN2 | 192.122.149.9 | MDC</t>
  </si>
  <si>
    <t>acs-pittsburgh</t>
  </si>
  <si>
    <t>Conversation Ongoing</t>
  </si>
  <si>
    <t>12.180.115.103</t>
  </si>
  <si>
    <t>Debbie Samples / Kathy Murr
Patricia Smith (not the appropriate contact)</t>
  </si>
  <si>
    <t>4/28 initial outreach to CVS contact
5/8 followed up as no reply recieved</t>
  </si>
  <si>
    <t>5/13 - Patricia Smith replied saying she forwarded this request to Conduent (formerly ACS) resources as she's not familiar with this</t>
  </si>
  <si>
    <t>Cliff.likens@acs-inc.com</t>
  </si>
  <si>
    <t>NDM servers access - ae81.aetna.com/ae28.aetna.com/ae93.aetna.com</t>
  </si>
  <si>
    <t>ACS-PITTSBURGH | VPN | MID-FW-VPN2 | 12.180.115.103 | MDC</t>
  </si>
  <si>
    <t>Contact is potentially Patricia Smith (SmithPM1@cvshealth.com)
Conduent (formerly ACS)</t>
  </si>
  <si>
    <t>Baylor-CMX</t>
  </si>
  <si>
    <t>128.249.1.174</t>
  </si>
  <si>
    <t>BAYLOR-CMX | VPN | 128.249.1.174 | SHEA</t>
  </si>
  <si>
    <t>Crypto ACL: Outside_cryptomap_35
Cipher: ESP-AES-256-SHA
PFS Group: None
SA Lifetime: Default</t>
  </si>
  <si>
    <t>BCBS-NC</t>
  </si>
  <si>
    <t>170.69.178.2</t>
  </si>
  <si>
    <t>IKEv2</t>
  </si>
  <si>
    <t>BCBS-NC | VPN | 170.69.178.2 | SHEA</t>
  </si>
  <si>
    <t>Crypto ACL: Outside_cryptomap_216
Cipher: AES256, AES192
PFS Group: group5
SA Lifetime: 1h</t>
  </si>
  <si>
    <t xml:space="preserve">ACS-Pittsburg-Unclaim </t>
  </si>
  <si>
    <t xml:space="preserve">63.116.31.229 </t>
  </si>
  <si>
    <t>Kathy Murr / Patricia Smith SmithPM1@aetna.com (not the appropriate contact)</t>
  </si>
  <si>
    <t>4/28 initial outreach
5/8 follow up sent as no reply from contact</t>
  </si>
  <si>
    <t>Dallas NOC 800-587-4209 24 x 7 support
Cliff Likens 412-788-3581 Cliff.likens@acs-inc.com</t>
  </si>
  <si>
    <t>Outbound/Inbound</t>
  </si>
  <si>
    <t>Inbound - tcp-9100 lpr printing to aetna printer
outbound - ACS AS400 servers</t>
  </si>
  <si>
    <t>ACS-PITTSBURG-UNCLAIM | VPN | MID-FW-VPN1 | 63.116.31.229 | MDC</t>
  </si>
  <si>
    <t>Conduent (formerly ACS)</t>
  </si>
  <si>
    <t>win-fw-vpn1</t>
  </si>
  <si>
    <t>Afiniti</t>
  </si>
  <si>
    <t>Active as of Jan 2025</t>
  </si>
  <si>
    <t>208.54.250.10</t>
  </si>
  <si>
    <t>206.213.209.29</t>
  </si>
  <si>
    <t>AFINITI | VPN | WIN-FW-VPN1 | 208.54.250.10 | WDC</t>
  </si>
  <si>
    <t>AFSPA - Foreign Service Benefit Plan</t>
  </si>
  <si>
    <t xml:space="preserve">174.140.129.100 </t>
  </si>
  <si>
    <t>Britt Pyritz pyritzb@aetna.com</t>
  </si>
  <si>
    <t>6/2 - Initial CVS email</t>
  </si>
  <si>
    <t>6/2 at 4:18pm - Connection is active</t>
  </si>
  <si>
    <t>Yancy Meiller yancy.meiller@afspa.org 
hsharaf@metrolinknetworks.com</t>
  </si>
  <si>
    <t>AFSPA - FOREIGN SERVICE BENEFIT PLAN | VPN | MID-FW-VPN1 | 174.140.129.100 | MDC</t>
  </si>
  <si>
    <t>6/3: Need to set up meeting with POC as they have knowledge of other connections and to also fill in the blanks for this connection</t>
  </si>
  <si>
    <t>AFSPA-Foreign Service Benefit Plan</t>
  </si>
  <si>
    <t>104.209.160.67</t>
  </si>
  <si>
    <t>Barrett, Pamela (FEHB) &lt;pgbarrett@aetna.com&gt;</t>
  </si>
  <si>
    <t>yancy.meiller@afspa.org/hsharaf@gocloudforce.com</t>
  </si>
  <si>
    <t>accessa.aetna.com and ecani.aetna.com</t>
  </si>
  <si>
    <t>AFSPA-FOREIGN SERVICE BENEFIT PLAN | VPN | WIN-FW-VPN2 | 104.209.160.67 | WDC</t>
  </si>
  <si>
    <t>CapGemini-Dallas</t>
  </si>
  <si>
    <t>00.Waiting on Vendor/Client contact details</t>
  </si>
  <si>
    <t>67.204.113.188</t>
  </si>
  <si>
    <t>204.99.19.23(OLD ASA Device) and 204.99.19.73(Migrated Config to new FTD device)</t>
  </si>
  <si>
    <t>Jeff Hrdlicka - Jeff.Hrdlicka@CVSCaremark.com - 440-542-4123</t>
  </si>
  <si>
    <t>1/7 at 11:48am
2/10 at 3:23pm
4/28 at 12:54pm - Initial partner contact email (undelivered)</t>
  </si>
  <si>
    <t>Prasad Jadhav  - prasad.c.jadhav@capgemini.com -  (91  - 9004283158) - email not valid</t>
  </si>
  <si>
    <t>CAPGEMINI-DALLAS | VPN | 67.204.113.188 | SHEA</t>
  </si>
  <si>
    <t>Crypto ACL: Outside_cryptomap_189
Cipher: ESP-AES-128-SHA, ESP-AES-128-MD5
PFS Group: None
SA Lifetime: Default</t>
  </si>
  <si>
    <t>CapGemini-Manassas</t>
  </si>
  <si>
    <t>67.204.113.203</t>
  </si>
  <si>
    <t>CAPGEMINI-MANASSAS | VPN | 67.204.113.203 | SHEA</t>
  </si>
  <si>
    <t>Crypto ACL: Outside_cryptomap_187
Cipher: ESP-AES-128-SHA,ESP-AES-128-MD5
PFS Group: None
SA Lifetime: Default</t>
  </si>
  <si>
    <t>ca-ssh</t>
  </si>
  <si>
    <t>141.202.179.17</t>
  </si>
  <si>
    <t>CA-SSH | VPN | 141.202.179.17 | SHEA</t>
  </si>
  <si>
    <t>Crypto ACL: Outside_cryptomap_10
Cipher: ESP-3DES-SHA
PFS Group: None
SA Lifetime: 1h</t>
  </si>
  <si>
    <t>AHCCCS</t>
  </si>
  <si>
    <t>159.87.17.249</t>
  </si>
  <si>
    <t>Cavanaugh, Paul M/Atkin, James R</t>
  </si>
  <si>
    <t>4/27 Email sent to partner to begin communication as no CVS contact was found in directory
5/8 follow up sent as no reply recieved</t>
  </si>
  <si>
    <t>netsvcs@azahcccs.gov</t>
  </si>
  <si>
    <t>telnet access to doa.aetna.com</t>
  </si>
  <si>
    <t>AHCCCS | VPN | MID-FW-VPN2 | 159.87.17.249 | MDC</t>
  </si>
  <si>
    <t xml:space="preserve">AIM Healthcare                      </t>
  </si>
  <si>
    <t xml:space="preserve">216.84.36.241  
168.183.70.9   </t>
  </si>
  <si>
    <t>Dianne Greenwald - GreenwaldD@aetna.com
Amanda Purvis - ABPurvis@aetna.com</t>
  </si>
  <si>
    <t>Alan Wyss - awyss@aimhealth.com
Shawn Embry - spembry@aimhealth.com</t>
  </si>
  <si>
    <t>Aetna EDI , and FTP transfers</t>
  </si>
  <si>
    <t>AIM HEALTHCARE | VPN | WIN-FW-VPN1 | 216.84.36.241 
168.183.70.9 | WDC</t>
  </si>
  <si>
    <t>CENTENE</t>
  </si>
  <si>
    <t>08.Migration Completed</t>
  </si>
  <si>
    <t>204.145.114.4</t>
  </si>
  <si>
    <t>Puneet Poddar - puneet.poddar@cvshealth.com - 847-484-9857</t>
  </si>
  <si>
    <t>12/19 at 11:44am</t>
  </si>
  <si>
    <t>Mike Kondo 559 493 8489</t>
  </si>
  <si>
    <t>Client</t>
  </si>
  <si>
    <t>CENTENE | VPN | 204.124.254.4 | SHEA</t>
  </si>
  <si>
    <t>Other Centene connection is confirmed valid by the partner contacts. This one we have received no updates form the listed contacts. Marking as blocked until resolved.
Crypto ACL: Outside_183_cryptomap
Cipher: ESP-AES-256-SHA
PFS Group: None
SA Lifetime: 8h</t>
  </si>
  <si>
    <t>aimhealth2</t>
  </si>
  <si>
    <t>168.183.70.9</t>
  </si>
  <si>
    <t>AIMHEALTH2 | VPN | WIN-FW-VPN1 | 168.183.70.9 | WDC</t>
  </si>
  <si>
    <t>alaska-electrical</t>
  </si>
  <si>
    <t>Email Sent</t>
  </si>
  <si>
    <t>69.161.29.162</t>
  </si>
  <si>
    <t xml:space="preserve"> Melissa Hostrawser / Danielle Aaron </t>
  </si>
  <si>
    <t>6/12 - Initial CVS outreach</t>
  </si>
  <si>
    <t>tomwalker@international-data-net/Ben_N@aetf.com</t>
  </si>
  <si>
    <t>ALASKA-ELECTRICAL | VPN | MID-FW-VPN2 | 69.161.29.162 | MDC</t>
  </si>
  <si>
    <t>alight-aws</t>
  </si>
  <si>
    <t>54.175.158.181  52.87.124.167  52.37.64.40 35.162.95.18</t>
  </si>
  <si>
    <t>ALIGHT-AWS | VPN | WIN-FW-VPN1 | 54.175.158.181 52.87.124.167 52.37.64.40 35.162.95.18 | WDC</t>
  </si>
  <si>
    <t>CISCO</t>
  </si>
  <si>
    <t>66.187.212.16</t>
  </si>
  <si>
    <t>Juan Roman Vickman</t>
  </si>
  <si>
    <t>CISCO | VPN | 66.187.212.16 | SHEA</t>
  </si>
  <si>
    <t>Crypto ACL: Outside_186_cryptomap
Cipher: ESP-AES-256-SHA
PFS Group: None
SA Lifetime: 1h</t>
  </si>
  <si>
    <t>clearstone_fortworth</t>
  </si>
  <si>
    <t>8.21.212.4</t>
  </si>
  <si>
    <t>CLEARSTONE_FORTWORTH | VPN | 8.21.212.4 | SHEA</t>
  </si>
  <si>
    <t>Crypto ACL: Outside_cryptomap_139
Cipher: ESP-AES-256-SHA
PFS Group: None
SA Lifetime: 1h</t>
  </si>
  <si>
    <t>ClearStoneWaukegan</t>
  </si>
  <si>
    <t>63.86.124.6</t>
  </si>
  <si>
    <t>John Simon - john.simon@cvshealth.com</t>
  </si>
  <si>
    <t>12/18 5:31pm
1/6 at 3:48pm - asked who would be a better contact</t>
  </si>
  <si>
    <t>1/2 at 11:32am - John Simon is not the primary contact</t>
  </si>
  <si>
    <t>Clearstone Solutions - Steve Ploof-www.ClearStoneSolutions.com - Office: 651.662.8988</t>
  </si>
  <si>
    <t>CLEARSTONEWAUKEGAN | VPN | 63.86.124.6 | SHEA</t>
  </si>
  <si>
    <t>John Simon is not the primary contact and partner contact has no valid email. Marking blocked as of 4/28 until resolved.
Crypto ACL: Outside_cryptomap_117
Cipher: ESP-AES-256-SHA
PFS Group: None
SA Lifetime: 1h</t>
  </si>
  <si>
    <t>CLOUD</t>
  </si>
  <si>
    <t>129.150.118.167</t>
  </si>
  <si>
    <t>12.46.119.234,204.99.19.23</t>
  </si>
  <si>
    <t>CLOUD | VPN | 129.150.118.167 | SHEA</t>
  </si>
  <si>
    <t>Crypto ACL: CLOUD
Cipher: AES-256
PFS Group: group2
SA Lifetime: 8h</t>
  </si>
  <si>
    <t>Connextions-south-orlando</t>
  </si>
  <si>
    <t>50.58.46.130</t>
  </si>
  <si>
    <t>4/24 at 1:52pm - initial email (not delivered)</t>
  </si>
  <si>
    <t>MARC.ASHTON@CONNEXTIONS.COM (email does not exist)</t>
  </si>
  <si>
    <t>CONNEXTIONS-SOUTH-ORLANDO | VPN | 50.58.46.130 | SHEA</t>
  </si>
  <si>
    <t>Crypto ACL: Outside_cryptomap_74
Cipher: ESP-AES-256-SHA
PFS Group: None
SA Lifetime: 1h</t>
  </si>
  <si>
    <t>country-financial</t>
  </si>
  <si>
    <t>208.74.228.19</t>
  </si>
  <si>
    <t>-</t>
  </si>
  <si>
    <t>COUNTRY-FINANCIAL | VPN | 208.74.228.19 | SHEA</t>
  </si>
  <si>
    <t>Crypto ACL: Outside_cryptomap_21
Cipher: ESP-AES-128-SHA
PFS Group: None
SA Lifetime: Default</t>
  </si>
  <si>
    <t>Coventry</t>
  </si>
  <si>
    <t>208.66.124.17</t>
  </si>
  <si>
    <t>Karen Bloom - karen.bloom@omnicare.com</t>
  </si>
  <si>
    <t>1/16 at 1:40pm
2/10 at 10:38am</t>
  </si>
  <si>
    <t>4/7 at 12:21: Karen Bloom is not the POC and did not share the correct POC</t>
  </si>
  <si>
    <t>COVENTRY | VPN | 208.66.124.17 | SHEA</t>
  </si>
  <si>
    <t>Crypto ACL: Outside_cryptomap_39
Cipher: ESP-AES-256-SHA
PFS Group: None
SA Lifetime: Default</t>
  </si>
  <si>
    <t>Alorica</t>
  </si>
  <si>
    <t>SHUT 4/15/19</t>
  </si>
  <si>
    <r>
      <rPr>
        <b/>
        <sz val="11"/>
        <color theme="1"/>
        <rFont val="Aptos Narrow"/>
        <family val="2"/>
        <scheme val="minor"/>
      </rPr>
      <t xml:space="preserve">103.192.124.68  DBAR - </t>
    </r>
    <r>
      <rPr>
        <sz val="11"/>
        <color theme="1"/>
        <rFont val="Aptos Narrow"/>
        <family val="2"/>
        <scheme val="minor"/>
      </rPr>
      <t xml:space="preserve">45.124.16.68 </t>
    </r>
  </si>
  <si>
    <t>Brian Doue</t>
  </si>
  <si>
    <t>Alorica Help Desk 888-632-2678 servicedesk@alorica.com
Mike Cherry 402-951-8900 michael.cherry@alorica.com</t>
  </si>
  <si>
    <t>ALORICA | VPN | MID-FW-VPN1 | 103.192.124.68 DBAR - 45.124.16.68 | MDC</t>
  </si>
  <si>
    <t>alorica-west -</t>
  </si>
  <si>
    <t>SHUT 4/08/2019 -CHG0117045 CM0017929</t>
  </si>
  <si>
    <t xml:space="preserve">45.124.16.69 </t>
  </si>
  <si>
    <t>Brian Doue
Chad Miller</t>
  </si>
  <si>
    <t xml:space="preserve">Aetna FTP </t>
  </si>
  <si>
    <t>ALORICA-WEST - | VPN | MID-FW-VPN1 | 45.124.16.69 | MDC</t>
  </si>
  <si>
    <t>4/21 - Determined Decommissioned due to Tunnel Status = SHUT
-</t>
  </si>
  <si>
    <t>aon-hewitt</t>
  </si>
  <si>
    <t>SHUT 2/08/2019CHG01170204 CM0017929</t>
  </si>
  <si>
    <t xml:space="preserve">204.152.239.22 204.152.235.22 </t>
  </si>
  <si>
    <t xml:space="preserve">
Marie Wolven  WolvenM@aetna.com</t>
  </si>
  <si>
    <t>ken.laurel@aon.com, hashmath.khan.2@Aonhewitt.com, steve.wyble@aon.com</t>
  </si>
  <si>
    <t>AON-HEWITT | VPN | MID-FW-VPN1 | 204.152.239.22 204.152.235.22 | MDC</t>
  </si>
  <si>
    <t>dovetail</t>
  </si>
  <si>
    <t>108.166.101.205</t>
  </si>
  <si>
    <t>DOVETAIL | VPN | 108.166.101.205 | SHEA</t>
  </si>
  <si>
    <t>Crypto ACL: Outside_crytpomap_108
Cipher: ESP-AES-256-SHA
PFS Group: None
SA Lifetime: 1h</t>
  </si>
  <si>
    <t>DVR_SOFTEK</t>
  </si>
  <si>
    <t>27.34.245.44</t>
  </si>
  <si>
    <t>12.46.119.234,204.99.19.239OLD ASA)</t>
  </si>
  <si>
    <t>DVR_SOFTEK | VPN | 27.34.245.44 | SHEA</t>
  </si>
  <si>
    <t>Crypto ACL: DVR_SOFTEK_ACL
Cipher: AES256-SHA256
PFS Group: group14
SA Lifetime: 8h</t>
  </si>
  <si>
    <t>Arkema</t>
  </si>
  <si>
    <t>SHUT CHG0137520 and CM0019568 10/14/2019</t>
  </si>
  <si>
    <t>169.148.251.253</t>
  </si>
  <si>
    <t xml:space="preserve">Weidemann, Christine L /Taylor, Maria A </t>
  </si>
  <si>
    <t>SFTP - Arkema drops files to PayFlex</t>
  </si>
  <si>
    <t>ARKEMA | VPN | MID-FW-VPN2 | 169.148.251.253 | MDC</t>
  </si>
  <si>
    <t>4/22 - Determined Decommissioned due to Tunnel Status = SHUT</t>
  </si>
  <si>
    <t>ehealth</t>
  </si>
  <si>
    <t>12.130.155.4</t>
  </si>
  <si>
    <t>Kelly Straub - kelly.straub@cvshealth.com</t>
  </si>
  <si>
    <t>12/19 at 11:51am
2/5 at 5:03pm</t>
  </si>
  <si>
    <t>2/5 at 5:14pm - Kelly Straub is not the correct. She does not know who to reach out to.</t>
  </si>
  <si>
    <t>EHEALTH | VPN | 12.130.155.4 | SHEA</t>
  </si>
  <si>
    <t>Crypto ACL: Outside_cryptomap_151
Cipher: ESP-AES-256-SHA
PFS Group: None
SA Lifetime: 1h</t>
  </si>
  <si>
    <t>aspect</t>
  </si>
  <si>
    <t xml:space="preserve"> SHUT 4/19/2018 CHG0081763</t>
  </si>
  <si>
    <t>Delp Jason</t>
  </si>
  <si>
    <t>Doug.Knights@Aspect.com/winston.Burgess@aspect.com</t>
  </si>
  <si>
    <t>RDP access to voice servers</t>
  </si>
  <si>
    <t>ASPECT | VPN | MID-FW-VPN2 | 63.97.171.84 | MDC</t>
  </si>
  <si>
    <t>aspera</t>
  </si>
  <si>
    <t>204.232.255.149</t>
  </si>
  <si>
    <t>ASPERA | VPN | MID-FW-VPN2 | 204.232.255.149 | MDC</t>
  </si>
  <si>
    <t>FIS</t>
  </si>
  <si>
    <t>Active</t>
  </si>
  <si>
    <t>156.55.167.4</t>
  </si>
  <si>
    <t>Todd Rooks - todd.rooks@cvshealth.com</t>
  </si>
  <si>
    <t>1/13 at 10:58 AM
2/9 at 3:25pm
4/28 at 3:32pm - Initial partner contact outreach (email not delivered)</t>
  </si>
  <si>
    <t>Neil Dziadulewicz, neil.j.dziadulewicz@fisglobal.com, 414-341-5124 - not valid email
Ritesh Sabharwal   (Ritesh.Sabharwal@fisglobal.com) - not valid email
Katarina Jerolitsch   (Katarina.Jerolitsch@fisglobal.com) - not valid email</t>
  </si>
  <si>
    <t>FIS | VPN | 156.55.167.4 | SHEA</t>
  </si>
  <si>
    <t>Crypto ACL: Outside_cryptomap
Cipher: ESP-AES-256-SHA
PFS Group: group2
SA Lifetime: Default</t>
  </si>
  <si>
    <t>fis-phoenix</t>
  </si>
  <si>
    <t>156.55.150.225</t>
  </si>
  <si>
    <t>204.99.19.23(Active on (OLD ASA Device),204.99.19.73(Migrated Config to new FTD device)</t>
  </si>
  <si>
    <t>FIS-PHOENIX | VPN | 156.55.150.225 | SHEA</t>
  </si>
  <si>
    <t>Crypto ACL: Outside_cryptomap_80
Cipher: ESP-3DES-SHA
PFS Group: None
SA Lifetime: Default</t>
  </si>
  <si>
    <t>Associated Admins</t>
  </si>
  <si>
    <t>173.233.62.254</t>
  </si>
  <si>
    <t>Palkanikos, Michelle L PalacioML@aetna.com</t>
  </si>
  <si>
    <t>6/9 - initial CVS email</t>
  </si>
  <si>
    <t>Paul Bielski, III &lt;paulb@associated-admin.com&gt;</t>
  </si>
  <si>
    <t>ASSOCIATED ADMINS | VPN | WIN-FW-VPN2 | 173.233.62.254 | WDC</t>
  </si>
  <si>
    <t>galaxe</t>
  </si>
  <si>
    <t>120.138.242.130</t>
  </si>
  <si>
    <t>GALAXE | VPN | 120.138.242.130 | SHEA</t>
  </si>
  <si>
    <t>galaxe-noida
Crypto ACL: Outside_cryptomap_113
Cipher: ESP-AES-256-SHA
PFS Group: group2
SA Lifetime: 1h</t>
  </si>
  <si>
    <t>64.9.35.4</t>
  </si>
  <si>
    <t>GALAXE | VPN | 64.9.35.4 | SHEA</t>
  </si>
  <si>
    <t>Crypto ACL: test
Cipher: ESP-AES-256-SHA
PFS Group: group2
SA Lifetime: 1h</t>
  </si>
  <si>
    <t>galaxe-bangalore</t>
  </si>
  <si>
    <t>203.123.184.124</t>
  </si>
  <si>
    <t>GALAXE-BANGALORE | VPN | 203.123.184.124 | SHEA</t>
  </si>
  <si>
    <t>Crypto ACL: Outside_cryptomap_16
Cipher: ESP-AES-256-SHA
PFS Group: group2
SA Lifetime: 1h</t>
  </si>
  <si>
    <t>galaxe-detroit</t>
  </si>
  <si>
    <t>67.91.179.229</t>
  </si>
  <si>
    <t>GALAXE-DETROIT | VPN | 67.91.179.229 | SHEA</t>
  </si>
  <si>
    <t>Crypto ACL: Outside_cryptomap_17
Cipher: ESP-AES-256-SHA
PFS Group: group2
SA Lifetime: 1h</t>
  </si>
  <si>
    <t>galaxe-detroit-2</t>
  </si>
  <si>
    <t>67.91.179.230</t>
  </si>
  <si>
    <t>GALAXE-DETROIT-2 | VPN | 67.91.179.230 | SHEA</t>
  </si>
  <si>
    <t>Crypto ACL: Outside_cryptomap_129
Cipher: ESP-AES-256-SHA
PFS Group: None
SA Lifetime: 1h</t>
  </si>
  <si>
    <t>galaxe-new-delhi</t>
  </si>
  <si>
    <t>203.123.151.180</t>
  </si>
  <si>
    <t>GALAXE-NEW-DELHI | VPN | 203.123.151.180 | SHEA</t>
  </si>
  <si>
    <t>Crypto ACL: Outside_cryptomap_43
Cipher: ESP-AES-256-SHA
PFS Group: group2
SA Lifetime: 1h</t>
  </si>
  <si>
    <t>galaxe-newdelhi</t>
  </si>
  <si>
    <t>210.7.64.202</t>
  </si>
  <si>
    <t>GALAXE-NEWDELHI | VPN | 210.7.64.202 | SHEA</t>
  </si>
  <si>
    <t>Crypto ACL: Outside_cryptomap_30
Cipher: ESP-AES-256-SHA
PFS Group: group2
SA Lifetime: 1h</t>
  </si>
  <si>
    <t>galaxe-noida</t>
  </si>
  <si>
    <t>203.123.146.242</t>
  </si>
  <si>
    <t>GALAXE-NOIDA | VPN | 203.123.146.242 | SHEA</t>
  </si>
  <si>
    <t>galaxe-noida-backup
Crypto ACL: Outside_cryptomap_116
Cipher: ESP-AES-256-SHA
PFS Group: group2
SA Lifetime: 1h</t>
  </si>
  <si>
    <t>galaxe-somerset</t>
  </si>
  <si>
    <t>64.9.35.3</t>
  </si>
  <si>
    <t>GALAXE-SOMERSET | VPN | 64.9.35.3 | SHEA</t>
  </si>
  <si>
    <t>Crypto ACL: Outside_cryptomap_130
Cipher: ESP-AES-256-SHA
PFS Group: None
SA Lifetime: 1h</t>
  </si>
  <si>
    <t>assurecare</t>
  </si>
  <si>
    <t>66.11.3.37</t>
  </si>
  <si>
    <t>Isabel Vilar</t>
  </si>
  <si>
    <t xml:space="preserve">rwahnbaeck@assurecare.com </t>
  </si>
  <si>
    <t>FTP inbound/outbound</t>
  </si>
  <si>
    <t>ASSURECARE | VPN | MID-FW-VPN2 | 66.11.3.37 | MDC</t>
  </si>
  <si>
    <t>AutoRabit</t>
  </si>
  <si>
    <t>52.11.31.59</t>
  </si>
  <si>
    <t>Dennis Galvin &lt;GalvinD@aetna.com&gt; (Not correct)</t>
  </si>
  <si>
    <t>6/1 - Initial email to CVS contact</t>
  </si>
  <si>
    <t>6/2 at 7:56am - Dennis not the correct POC. Added Mark, Min, and Marty to assist.
6/3 at 9:21am - Martin responded saying the server is decom'ed in 2022 and AutoRabit is no longer in use.</t>
  </si>
  <si>
    <t>Nagarjuna Chinni &lt;nagarjuna.c@autorabit.com&gt;</t>
  </si>
  <si>
    <t>xratw21d.aetna.com</t>
  </si>
  <si>
    <t>AUTORABIT | VPN | MID-FW-VPN2 | 52.11.31.59 | MDC</t>
  </si>
  <si>
    <t>6/3: Marking as decom but check in case connection shows up as active.</t>
  </si>
  <si>
    <t>34.209.96.131</t>
  </si>
  <si>
    <t>Primary B2B Connection</t>
  </si>
  <si>
    <t>AUTORABIT | VPN | WIN-FW-VPN2 | 34.209.96.131 | WDC</t>
  </si>
  <si>
    <t>Avenu-Unclaim</t>
  </si>
  <si>
    <t>65.112.187.106</t>
  </si>
  <si>
    <t>AVENU-UNCLAIM | VPN | MID-FW-VPN1 | 65.112.187.106 | MDC</t>
  </si>
  <si>
    <t>AXA</t>
  </si>
  <si>
    <t>69.164.123.146</t>
  </si>
  <si>
    <t>McCormick, Patrick J /Keener, Jaylynn M &lt;keenerj@aetna.com&gt;</t>
  </si>
  <si>
    <t>Carlos.Bulleri@axa-assistance.us</t>
  </si>
  <si>
    <t>AXA | VPN | WIN-FW-VPN2 | 69.164.123.146 | WDC</t>
  </si>
  <si>
    <t>AXA-2</t>
  </si>
  <si>
    <t>38.104.229.10</t>
  </si>
  <si>
    <t>Michele Kurdes &lt;KurdesM@AETNA.com&gt;</t>
  </si>
  <si>
    <t>DUONG Jimmy &lt;jimmy.duong@axa-assistance.us</t>
  </si>
  <si>
    <t>AXA-2 | VPN | WIN-FW-VPN2 | 38.104.229.10 | WDC</t>
  </si>
  <si>
    <t>bankofamerica</t>
  </si>
  <si>
    <t>DR</t>
  </si>
  <si>
    <t>171.161.175.3</t>
  </si>
  <si>
    <t>Audenier, Irlande</t>
  </si>
  <si>
    <t>bruce.billings@bankofamerica.com</t>
  </si>
  <si>
    <t>NDM servers access - ae81.aetna.com ae93.aetna.com</t>
  </si>
  <si>
    <t>BANKOFAMERICA | VPN | MID-FW-VPN2 | 171.161.175.3 | MDC</t>
  </si>
  <si>
    <t>4/27 vendor email is no longer active.  No POC for this connection</t>
  </si>
  <si>
    <t>171.159.79.3</t>
  </si>
  <si>
    <t>BANKOFAMERICA | VPN | WIN-FW-VPN2 | 171.159.79.3 | WDC</t>
  </si>
  <si>
    <t>Hydrabad-TS</t>
  </si>
  <si>
    <t>58.2.239.42</t>
  </si>
  <si>
    <t>204.99.19.23 (OLD ASA Device),204.99.19.73(Migrated Config to new FTD device)</t>
  </si>
  <si>
    <t>Patricia Tetreault - patricia.tetreault@cvshealth.com - (401) 770-2708</t>
  </si>
  <si>
    <t>1/28 at 2:19pm</t>
  </si>
  <si>
    <t>1/29 at 9:01am - Patty Tetreault confirmed she does not own any of these connections.</t>
  </si>
  <si>
    <t>HYDRABAD-TS | VPN | 58.2.239.42 | SHEA</t>
  </si>
  <si>
    <t>Marked as blocked due to no valid CVS or partner contact</t>
  </si>
  <si>
    <t>PDX</t>
  </si>
  <si>
    <t>IBM_CLOUD</t>
  </si>
  <si>
    <t>06.Awaiting Migration Date</t>
  </si>
  <si>
    <t>169.55.78.243</t>
  </si>
  <si>
    <t>206.213.251.29,12.46.119.234,204.99.19.23</t>
  </si>
  <si>
    <t>Jeff Kalmanowicz - jeffrey.kalmanowicz@cvshealth.com</t>
  </si>
  <si>
    <t>1/13 at 4:15 PM
6/1 - Email sent to Janine</t>
  </si>
  <si>
    <t>1/13 at 4:21pm - Jeffrey isn't sure if they are specific to IBM PBM or IBM as a vendor. Asked what's being shared through these connections
1/22 at 10:32am - Parsia replied back asking if they may know someone else we can reach out to.
1/22 at 10:42am - "I don't"</t>
  </si>
  <si>
    <t>Murali Pallamala &lt;mpallama@in.ibm.com&gt; 
Neeraj Mehta - 972 792 4256</t>
  </si>
  <si>
    <t>IBM_CLOUD | VPN | 169.55.78.243 | PDX</t>
  </si>
  <si>
    <t>Crypto ACL: IBM-CVS_ESL_DEV
Cipher: ESP-AES-256-SHA
PFS Group: group5
SA Lifetime: Default</t>
  </si>
  <si>
    <t>IBM-Bangalore-CMX</t>
  </si>
  <si>
    <t>129.33.201.96</t>
  </si>
  <si>
    <t>1/13 at 4:21pm - Jeffrey isn't sure if they are specific to IBM PBM or IBM as a vendor. Asked what's being shared through these connections
1/22 at 10:32am - Parsia replied back with clarifying questions and additional information.</t>
  </si>
  <si>
    <t>Vijay lakshmanan - vijaylakshmanan@in.ibm.com Contact Nbr: 080 41771629, +919686603011
Neeraj Mehta  972 792 4256</t>
  </si>
  <si>
    <t>IBM-BANGALORE-CMX | VPN | 129.33.201.96 | SHEA</t>
  </si>
  <si>
    <t>Crypto ACL: Outside_cryptomap_18
Cipher: AES-256
PFS Group: group14
SA Lifetime: Default</t>
  </si>
  <si>
    <t>IBM-Chennai</t>
  </si>
  <si>
    <t>129.33.201.128</t>
  </si>
  <si>
    <t>IBM-CHENNAI | VPN | 129.33.201.128 | PDX</t>
  </si>
  <si>
    <t>Crypto ACL: Outside_cryptomap_88
Cipher: ESP-3DES-SHA
PFS Group: None
SA Lifetime: 1d</t>
  </si>
  <si>
    <t>IBM-Manyatha</t>
  </si>
  <si>
    <t>129.33.201.122</t>
  </si>
  <si>
    <t>Neeraj Mehta - 972 792 4256</t>
  </si>
  <si>
    <t>IBM-MANYATHA | VPN | 129.33.201.122 | PDX</t>
  </si>
  <si>
    <t>Crypto ACL: Outside_cryptomap_29
Cipher: ESP-3DES-MD5
PFS Group: None
SA Lifetime: Default</t>
  </si>
  <si>
    <t>IBM-Onenet</t>
  </si>
  <si>
    <t>vijaylakshmanan - vijaylakshmanan@in.ibm.com - 080 41771629 -  9686603011
DINESH SETIA - dinsetia@in.ibm.com - 91-124-2834570 - 91-98912-45691</t>
  </si>
  <si>
    <t>IBM-ONENET | VPN | 129.33.201.96 | PDX</t>
  </si>
  <si>
    <t>IBM-Pune</t>
  </si>
  <si>
    <t>129.33.201.104</t>
  </si>
  <si>
    <t xml:space="preserve">Sukalyan Gorai - sukalyan.gorai@cvshealth.com - +91 9073055365
</t>
  </si>
  <si>
    <t>IBM-PUNE | VPN | 129.33.201.104 | PDX</t>
  </si>
  <si>
    <t>Crypto ACL: Outside_cryptomap_19
Cipher: ESP-3DES-MD5
PFS Group: None
SA Lifetime: Default</t>
  </si>
  <si>
    <t>129.33.201.64</t>
  </si>
  <si>
    <t>Sukalyan Gorai - sukalyan.gorai@cvshealth.com - +91 9073055365
AshiqueAhamed.Basheer@cognizant.com - +91-9944989114</t>
  </si>
  <si>
    <t>IBM-PUNE | VPN | 129.33.201.64 | PDX</t>
  </si>
  <si>
    <t>Crypto ACL: Outside_cryptomap_31
Cipher: ESP-3DES-MD5
PFS Group: None
SA Lifetime: Default</t>
  </si>
  <si>
    <t>IBM-Yellow</t>
  </si>
  <si>
    <t>129.33.201.70</t>
  </si>
  <si>
    <t>Arun Venugopal
    Location IT Manager &amp; Technical Solution Architect -BT/IT-IBM Consulting
    IBM-Chennai
    MOB:09994869895,</t>
  </si>
  <si>
    <t>IBM-YELLOW | VPN | 129.33.201.70 | PDX</t>
  </si>
  <si>
    <t>Crypto ACL: Outside_cryptomap_131
Cipher: ESP-3DES-MD5
PFS Group: None
SA Lifetime: Default</t>
  </si>
  <si>
    <t>IBM-Yellow2</t>
  </si>
  <si>
    <t>129.33.201.120</t>
  </si>
  <si>
    <t>vijaylakshmanan@in.ibm.com - +91 9686603011</t>
  </si>
  <si>
    <t>IBM-YELLOW2 | VPN | 129.33.201.120 | PDX</t>
  </si>
  <si>
    <t>Crypto ACL: Outside_cryptomap_118
Cipher: ESP-3DES-MD5
PFS Group: None
SA Lifetime: Default</t>
  </si>
  <si>
    <t>bankofamerica2</t>
  </si>
  <si>
    <t>171.161.190.1</t>
  </si>
  <si>
    <t>BANKOFAMERICA2 | VPN | MID-FW-VPN2 | 171.161.190.1 | MDC</t>
  </si>
  <si>
    <t>Ingenix</t>
  </si>
  <si>
    <t>206.105.110.7</t>
  </si>
  <si>
    <t>INGENIX | VPN | 206.105.110.7 | SHEA</t>
  </si>
  <si>
    <t>Crypto ACL: Outside_1_cryptomap
Cipher: ESP-AES-256-SHA
PFS Group: None
SA Lifetime: Default</t>
  </si>
  <si>
    <t>bankofamerica2-va</t>
  </si>
  <si>
    <t>171.159.222.1</t>
  </si>
  <si>
    <t>BANKOFAMERICA2-VA | VPN | WIN-FW-VPN2 | 171.159.222.1 | WDC</t>
  </si>
  <si>
    <t>Beechglen Development Inc.</t>
  </si>
  <si>
    <t>66.161.223.142</t>
  </si>
  <si>
    <t>Brown, Lisa &lt;BrownL10@aetna.com&gt;</t>
  </si>
  <si>
    <t>4/27 Email sent to partner to begin communication as no CVS contact was found in directory</t>
  </si>
  <si>
    <t>4/27 Partner confirmed decommissioned status.  Aetna/CVS Health cancelled services, effective January 2025.  The system known as WGEMS1P has been decommissioned and removed from service.</t>
  </si>
  <si>
    <t>Drew Conroy
513-922-0509
drewc@beechglen.com</t>
  </si>
  <si>
    <t>wgems1p.aetna.com</t>
  </si>
  <si>
    <t>BEECHGLEN DEVELOPMENT INC. | VPN | MID-FW-VPN2 | 66.161.223.142 | MDC</t>
  </si>
  <si>
    <t>KnowledgeShift</t>
  </si>
  <si>
    <t>67.227.237.21</t>
  </si>
  <si>
    <t>KNOWLEDGESHIFT | VPN | 67.227.237.21 | SHEA</t>
  </si>
  <si>
    <t>Crypto ACL: Outside_crytpomap_203
Cipher: ESP-AES-128-SHA, ESP-AES-128-MD5
PFS Group: None
SA Lifetime: Default</t>
  </si>
  <si>
    <t>benefit-comms</t>
  </si>
  <si>
    <t>98.21.177.34</t>
  </si>
  <si>
    <t>MooreM3@aetna.com</t>
  </si>
  <si>
    <t xml:space="preserve"> dtroglen@benefitcommunications.com/dtroglen@benefitcommunications.com</t>
  </si>
  <si>
    <t>BENEFIT-COMMS | VPN | MID-FW-VPN2 | 98.21.177.34 | MDC</t>
  </si>
  <si>
    <t>lilly</t>
  </si>
  <si>
    <t>40.0.46.175</t>
  </si>
  <si>
    <t>LILLY | VPN | 40.0.46.175 | SHEA</t>
  </si>
  <si>
    <t>Crypto ACL: Outside_cryptomap_55
Cipher: ESP-3DES-MD5
PFS Group: None
SA Lifetime: Default</t>
  </si>
  <si>
    <t>benefit-prog</t>
  </si>
  <si>
    <t>12.227.198.99</t>
  </si>
  <si>
    <t>BENEFIT-PROG | VPN | WIN-FW-VPN1 | 12.227.198.99 | WDC</t>
  </si>
  <si>
    <t>benesys-ipsec</t>
  </si>
  <si>
    <t>52.146.86.133</t>
  </si>
  <si>
    <t>BENESYS-IPSEC | VPN | MID-FW-VPN1 | 52.146.86.133 | MDC</t>
  </si>
  <si>
    <t>MARS</t>
  </si>
  <si>
    <t>64.60.141.190</t>
  </si>
  <si>
    <t>MARS | VPN | 64.60.141.190 | SHEA</t>
  </si>
  <si>
    <t>Crypto ACL: MARS
Cipher: ESP-AES-256-SHA
PFS Group: group2
SA Lifetime: 8h</t>
  </si>
  <si>
    <t>MartinsPoint</t>
  </si>
  <si>
    <t>74.120.145.150</t>
  </si>
  <si>
    <t>MARTINSPOINT | VPN | 74.120.145.150 | SHEA</t>
  </si>
  <si>
    <t>Crypto ACL: Outside_cryptomap_162
Cipher: ESP-AES-256-SHA
PFS Group: None
SA Lifetime: 1h</t>
  </si>
  <si>
    <t>Mckess</t>
  </si>
  <si>
    <t>143.112.123.68</t>
  </si>
  <si>
    <t>MCKESS | VPN | 143.112.123.68 | SHEA</t>
  </si>
  <si>
    <t>Crypto ACL: Mckess
Cipher: ESP-AES-256-SHA
PFS Group: None
SA Lifetime: 8h</t>
  </si>
  <si>
    <t>Best Doctors</t>
  </si>
  <si>
    <t>209.208.220.180</t>
  </si>
  <si>
    <t>Michele Kurdes    KurdesM@aetna.com</t>
  </si>
  <si>
    <t xml:space="preserve">BEN AMAH, 305.269.2521, BAmah@BestDoctorsInsurance.com </t>
  </si>
  <si>
    <t>BEST DOCTORS | VPN | MID-FW-VPN2 | 209.208.220.180 | MDC</t>
  </si>
  <si>
    <t>Medco</t>
  </si>
  <si>
    <t>167.211.204.4</t>
  </si>
  <si>
    <t>204.99.19.23(OLD ASA DEVICE),206.2123.209.29</t>
  </si>
  <si>
    <t>Current MEDCO partner contacts  are
CDH Outage Notification &lt;cdhoutagenotification@express-scripts.com&gt;
 Andreshak, Brett &lt;brett.andreshak@evernorth.com&gt;</t>
  </si>
  <si>
    <t>MEDCO | MPLS | WIN-DS-L2-EDMZ-1 2/0/17 | 206.213.208.90 | WDC</t>
  </si>
  <si>
    <t>Crypto ACL: Outside_cryptomap_38
Cipher: ESP-AES-256-SHA
PFS Group: None
SA Lifetime: Default</t>
  </si>
  <si>
    <t>Mid-ds-L3-EDMZ-1 2/0/10</t>
  </si>
  <si>
    <t>Bloomberg</t>
  </si>
  <si>
    <t>Pre-Migration</t>
  </si>
  <si>
    <t>206.213.202.50</t>
  </si>
  <si>
    <t>206.213.207.20  Traffic from Middletown switch.</t>
  </si>
  <si>
    <t xml:space="preserve">Hougrand, Scot &lt;HougrandS@cvshealth.com&gt;, Howard, Todd A HowardT4@cvshealth.com, Brennan, John W BrennanJ4@cvshealth.com, and Antonelli, Peter J AntonelliP@cvshealth.com.   </t>
  </si>
  <si>
    <t>4/29 initial email sent</t>
  </si>
  <si>
    <t>4/30 Scot provided updated CVS contacts and confirmed the connection is active</t>
  </si>
  <si>
    <t xml:space="preserve">Bloomberg NOC  800-448-5678 x2790, jmagri@bloomberg.net; dheslin@bloomberg.net; </t>
  </si>
  <si>
    <t>Supports IM Portfolio Management application</t>
  </si>
  <si>
    <t>N42</t>
  </si>
  <si>
    <t>Juniper J2320 Router IDR128839</t>
  </si>
  <si>
    <t xml:space="preserve">ATT KQGN993570 LEC KQGN709610   </t>
  </si>
  <si>
    <t>BLOOMBERG | MPLS | MID-DS-L3-EDMZ-1 2/0/10 | 206.213.202.50 | MDC</t>
  </si>
  <si>
    <t>Need to confirm CVS &amp; Partner Peer IP with Firewall Ops</t>
  </si>
  <si>
    <t>win-ds-l2-edmz-1 1/0/12</t>
  </si>
  <si>
    <t xml:space="preserve">Bloomberg </t>
  </si>
  <si>
    <t>206.213.208.14</t>
  </si>
  <si>
    <t>206.213.201.20  Traffic from the Windsor switch.</t>
  </si>
  <si>
    <t>HowardT4@AETNA.com           860-273-5791 BrennanJ4@aetna.com        860-273-3609</t>
  </si>
  <si>
    <t>4/30 Scot Hougrand confirmed active</t>
  </si>
  <si>
    <t>Bloomberg NOC  800-448-5678 x2790, jmagri@bloomberg.net; dheslin@bloomberg.net</t>
  </si>
  <si>
    <t>N55</t>
  </si>
  <si>
    <t xml:space="preserve">Bloomberg Rtr id R128287 JuniperJ2320 </t>
  </si>
  <si>
    <t xml:space="preserve">Verizon Overture Rack N53 port 1/3 W1A43606 EA-Y03-Y03-003 </t>
  </si>
  <si>
    <t xml:space="preserve"> </t>
  </si>
  <si>
    <t>Ralph Blakesle               Gary Bedford</t>
  </si>
  <si>
    <t>Ralph Blakeslee confirmed</t>
  </si>
  <si>
    <t>BLOOMBERG | MPLS | WIN-DS-L2-EDMZ-1 1/0/12 | 206.213.208.14 | WDC</t>
  </si>
  <si>
    <t>MedMetrix</t>
  </si>
  <si>
    <t>69.74.34.116</t>
  </si>
  <si>
    <t>Anna Sliz - anna.przeczek@cvshealth.com</t>
  </si>
  <si>
    <t>1/7 at 11:23am
4/29 at 10:37am - Initial partner contact outreach (email not delivered)</t>
  </si>
  <si>
    <t>1/7 at 11:26am - Anna seems very confused.</t>
  </si>
  <si>
    <t>Chris Spazianto - cspazianto@med-metrix.com - 201-580-4250 (Email not valid)</t>
  </si>
  <si>
    <t>MEDMETRIX | VPN | 69.74.34.116 | SHEA</t>
  </si>
  <si>
    <t>Crypto ACL: MedMetrix_Encrypt
Cipher: ESP-AES-256-SHA
PFS Group: None
SA Lifetime: Default</t>
  </si>
  <si>
    <t>Microsoft</t>
  </si>
  <si>
    <t>13.68.144.168</t>
  </si>
  <si>
    <t>Ryan Belkin</t>
  </si>
  <si>
    <t>4/27 at 11:23am - Initial reach out to partner contact (email declined)</t>
  </si>
  <si>
    <t>michele.petruzziello@microsoft.com - Email declined</t>
  </si>
  <si>
    <t>MICROSOFT | VPN | 13.68.144.168 | SHEA</t>
  </si>
  <si>
    <t>Group Policy: Microsoft_grp_policy
Crypto ACL: Microsoft_CVS
Cipher: AES256-SHA256
PFS Group: None
SA Lifetime: Default</t>
  </si>
  <si>
    <t>Moxie_AWS</t>
  </si>
  <si>
    <t>10.Decommissioned Inactive tunnels</t>
  </si>
  <si>
    <t>54.156.205.172</t>
  </si>
  <si>
    <t>130.250.132.164</t>
  </si>
  <si>
    <t>Raag Rajendra Kharadi - Raag.kharadi@cvshealth.com - 510-974-3342
Freddy Herrera - Freddy.Herrera@cvshealth.com (602) 571-9138
Peter Rochard - peter.rochard@cvshealth.com - 480-452-7185</t>
  </si>
  <si>
    <t>1/30 at 11:00am
2/12 at 11:49am
4/28 at 3:43pm - Initial partner outreach (email undelivered)</t>
  </si>
  <si>
    <t>Kristopher Grimm - kgrimm@gomoxie.com   - 425-327-0069 (Email not valid)</t>
  </si>
  <si>
    <t>MOXIE_AWS | VPN | 130.250.132.164 | SHEA</t>
  </si>
  <si>
    <t>Group Policy: Moxie_AWS_DR
Crypto ACL: CVS_RI_Moxie_AWS_DR
Cipher: ESP-AES-256-SHA
PFS Group: None
SA Lifetime: Default
Partner Side ARIN: Amazon Technologies Inc.</t>
  </si>
  <si>
    <t xml:space="preserve"> IKEv1/v2</t>
  </si>
  <si>
    <t>MOXIE_AWS | VPN | 54.156.205.172 | SHEA</t>
  </si>
  <si>
    <t>Group Policy: Moxie_AWS
Crypto ACL: CVS_RI_Moxie_AWS
Cipher: ESP-AES-256-SHA
PFS Group: None
SA Lifetime: Default
Partner Side ARIN: Moxie Software, Inc.</t>
  </si>
  <si>
    <t>Moxie_NV_AWS</t>
  </si>
  <si>
    <t>54.81.143.92</t>
  </si>
  <si>
    <t>Peter Rochard - Peter.Rochard@CVSHealth.com - (480) 452-7185
Freddy Herrera - Freddy.Herrera@cvshealth.com - 602) 571-9138</t>
  </si>
  <si>
    <t>MOXIE_NV_AWS | VPN | 54.81.143.92 | SHEA</t>
  </si>
  <si>
    <t>Crypto ACL: CVS_AZ_Moxie_NV_AWS
Cipher: AES256-SHA256
PFS Group: group14
SA Lifetime: 8h</t>
  </si>
  <si>
    <t>BMI2</t>
  </si>
  <si>
    <t>52.188.49.38</t>
  </si>
  <si>
    <t>BMI2 | VPN | MID-FW-VPN2 | 52.188.49.38 | MDC</t>
  </si>
  <si>
    <t>NATELEV</t>
  </si>
  <si>
    <t>65.216.170.130</t>
  </si>
  <si>
    <t>NATELEV | VPN | 65.216.170.130 | SHEA</t>
  </si>
  <si>
    <t>Crypto ACL: Outside_7_cryptomap
Cipher: ESP-AES-256-SHA
PFS Group: None
SA Lifetime: Default</t>
  </si>
  <si>
    <t>nationshealth</t>
  </si>
  <si>
    <t>198.23.27.18</t>
  </si>
  <si>
    <t>NATIONSHEALTH | VPN | 198.23.27.18 | SHEA</t>
  </si>
  <si>
    <t>Crypto ACL: Outside_cryptomap_188
Cipher: ESP-AES-256-SHA
PFS Group: None
SA Lifetime: 8h</t>
  </si>
  <si>
    <t>BMI-ipsec</t>
  </si>
  <si>
    <t xml:space="preserve">63.251.157.190 </t>
  </si>
  <si>
    <t>BMI-IPSEC | VPN | MID-FW-VPN1 | 63.251.157.190 | MDC</t>
  </si>
  <si>
    <t>Boon</t>
  </si>
  <si>
    <t>Active as of Jan 13 2025</t>
  </si>
  <si>
    <t>72.48.144.97</t>
  </si>
  <si>
    <t>Gorski, Deborah A</t>
  </si>
  <si>
    <t>Jason Gomes - jasong@boonchapman.com</t>
  </si>
  <si>
    <t>secondary B2B Connection</t>
  </si>
  <si>
    <t>BOON | VPN | WIN-FW-VPN1 | 72.48.144.97 | WDC</t>
  </si>
  <si>
    <t>nreca</t>
  </si>
  <si>
    <t>4.21.120.134</t>
  </si>
  <si>
    <t>NRECA | VPN | 4.21.120.134 | SHEA</t>
  </si>
  <si>
    <t>National Rural Electric Cooperative Association
Crypto ACL: Outside_cryptomap_36
Cipher: ESP-AES-256-SHA
PFS Group: None
SA Lifetime: Default</t>
  </si>
  <si>
    <t>pacific</t>
  </si>
  <si>
    <t>204.115.255.234</t>
  </si>
  <si>
    <t>Munish Vij - Munish.Vij@cvshealth.com - 201-286-3942
Edward Beauregard - Edward.Beauregard@cvshealth.com - 401-770-1611; 
Merneedi, GangaPrasad &lt;Ganga.Merneedi@CVSHealth.com&gt;; 
Dreiling, Craig &lt;Craig.Dreiling@CVSHealth.com&gt;</t>
  </si>
  <si>
    <t>1/15 at 2:03pm
2/10 at 11:05am</t>
  </si>
  <si>
    <t>2/10 at 11:55am - Asked to remove name from this connection</t>
  </si>
  <si>
    <t>PACIFIC | VPN | 204.115.255.234 | SHEA</t>
  </si>
  <si>
    <t>Crypto ACL: Outside_cryptomap_120
Cipher: ESP-AES-256-SHA
PFS Group: None
SA Lifetime: 1h</t>
  </si>
  <si>
    <t>boon3</t>
  </si>
  <si>
    <t>12.205.25.6</t>
  </si>
  <si>
    <t>Lisa Mandato</t>
  </si>
  <si>
    <t>Boon Technology Solutions edi@boongroup.com nthomas@boongroup.com  Katie Jones kjones@boongroup.com   jinsley@boongroup.com, Jacque Greene greene@boongroup.com  mgarrow@boongroup.com shernandez@boongroup.com</t>
  </si>
  <si>
    <t>BOON3 | VPN | WIN-FW-VPN2 | 12.205.25.6 | WDC</t>
  </si>
  <si>
    <t>patni-el-paso</t>
  </si>
  <si>
    <t>208.250.33.4</t>
  </si>
  <si>
    <t>PATNI-EL-PASO | VPN | 208.250.33.4 | SHEA</t>
  </si>
  <si>
    <t>Crypto ACL: Outside_cryptomap_109
Cipher: ESP-AES-256-SHA
PFS Group: None
SA Lifetime: 1h</t>
  </si>
  <si>
    <t>patni-el-paso2</t>
  </si>
  <si>
    <t>12.197.237.98</t>
  </si>
  <si>
    <t>PATNI-EL-PASO2 | VPN | 12.197.237.98 | SHEA</t>
  </si>
  <si>
    <t>Crypto ACL: Outside_cryptomap_157
Cipher: ESP-AES-256-SHA
PFS Group: None
SA Lifetime: 1h</t>
  </si>
  <si>
    <t>patni-noida</t>
  </si>
  <si>
    <t>203.189.180.35</t>
  </si>
  <si>
    <t>PATNI-NOIDA | VPN | 120.29.232.2 | SHEA</t>
  </si>
  <si>
    <t>Crypto ACL: Outside_cryptomap_81
Cipher: ESP-AES-256-SHA
PFS Group: None
SA Lifetime: 1h</t>
  </si>
  <si>
    <t>120.29.232.2</t>
  </si>
  <si>
    <t>PATNI-NOIDA | VPN | 203.189.180.35 | SHEA</t>
  </si>
  <si>
    <t>Crypto ACL: Outside_cryptomap_158
Cipher: ESP-AES-256-SHA
PFS Group: None
SA Lifetime: 1h</t>
  </si>
  <si>
    <t>patni-redwood-city</t>
  </si>
  <si>
    <t>63.241.95.168</t>
  </si>
  <si>
    <t>PATNI-REDWOOD-CITY | VPN | 63.241.95.168 | SHEA</t>
  </si>
  <si>
    <t>Crypto ACL: Outside_cryptomap_115
Cipher: ESP-AES-256-SHA
PFS Group: None
SA Lifetime: 1h</t>
  </si>
  <si>
    <t>PEGA</t>
  </si>
  <si>
    <t>44.198.149.100</t>
  </si>
  <si>
    <t>Steve Villari - stephen.villari@cvshealth.com</t>
  </si>
  <si>
    <t>1/28 at 1:21pm
2/10 at 3:22pm
4/28 at 12:48pm - Initial email to partner contact (email undelivered)</t>
  </si>
  <si>
    <t>STEVE.DIETZ@PEGA.COM (email does not exist)</t>
  </si>
  <si>
    <t xml:space="preserve">Vendor </t>
  </si>
  <si>
    <t>PEGA | VPN | 44.198.149.100 | SHEA</t>
  </si>
  <si>
    <t>Crypto ACL: CVS-PEGA-Test
Cipher: AES256-SHA256
PFS Group: group2
SA Lifetime: 1h</t>
  </si>
  <si>
    <t>bucks-school</t>
  </si>
  <si>
    <t>24.154.126.104</t>
  </si>
  <si>
    <t>Fasanella, Rebecca M</t>
  </si>
  <si>
    <t>carleen@amcasystems.com</t>
  </si>
  <si>
    <t>BUCKS-SCHOOL | VPN | MID-FW-VPN2 | 24.154.126.104 | MDC</t>
  </si>
  <si>
    <t>Bupa</t>
  </si>
  <si>
    <t>103.108.49.126</t>
  </si>
  <si>
    <t>Rich Aries</t>
  </si>
  <si>
    <t>6/2 at 3:55pm - According to Rich: "The B2B VPN should no longer exist, it can go away."</t>
  </si>
  <si>
    <t>Manoch.Chadjuam@aetna.co.th</t>
  </si>
  <si>
    <t>tanium / winptanap02.aeth.aetna.com</t>
  </si>
  <si>
    <t>BUPA | VPN | MID-FW-VPN2 | 103.108.49.126 | MDC</t>
  </si>
  <si>
    <t>6/3: Marking as decom. If this VPN still has active traffic, it needs to undergo proper decom process.</t>
  </si>
  <si>
    <t>Preferred</t>
  </si>
  <si>
    <t>01.First contact attempt to Vendor/Client</t>
  </si>
  <si>
    <t>72.44.199.102</t>
  </si>
  <si>
    <t>Michael Webb - michael.webb@cvshealth.com - 401-770-4963 (does not exist)</t>
  </si>
  <si>
    <t>4/24 at 1:49pm - initial email</t>
  </si>
  <si>
    <t>Tony Russell - tony.russell@preferredhomecare.com - 480-882-0386 (does not exist)</t>
  </si>
  <si>
    <t>PREFERRED | VPN | 72.44.199.102 | SHEA</t>
  </si>
  <si>
    <t>Crypto ACL: Outside_cryptomap_202
Cipher: ESP-AES-128-SHA, ESP-AES-128-MD5
PFS Group: None
SA Lifetime: Default</t>
  </si>
  <si>
    <t>RDS_Broke</t>
  </si>
  <si>
    <t>50.226.177.126</t>
  </si>
  <si>
    <t>204.99.19.23(OLD ASA Device),204.99.19.73(Migrated Config to new FTD device)</t>
  </si>
  <si>
    <t>RDS_BROKE | VPN | 50.226.177.126 | SHEA</t>
  </si>
  <si>
    <t>Crypto ACL: RDS_Broke
Cipher: ESP-AES-256-SHA
PFS Group: None
SA Lifetime: Default
Partner side: Comcast Cable Communications, LLC</t>
  </si>
  <si>
    <t>repeng</t>
  </si>
  <si>
    <t>207.166.201.126</t>
  </si>
  <si>
    <t>REPENG | VPN | 207.166.201.126 | SHEA</t>
  </si>
  <si>
    <t xml:space="preserve">Crypto ACL: Outside_cryptomap_41
Cipher: ESP-3DES-MD5
PFS Group: None
SA Lifetime: Default
Partner Side: EC/EDI, Inc.
</t>
  </si>
  <si>
    <t>Care Management Network</t>
  </si>
  <si>
    <t>207.219.198.18</t>
  </si>
  <si>
    <t>KurdesM@aetna.com</t>
  </si>
  <si>
    <t>6/9 - Initial CVS Email</t>
  </si>
  <si>
    <t>dpearce@gghs.ca</t>
  </si>
  <si>
    <t>CARE MANAGEMENT NETWORK | VPN | MID-FW-VPN1 | 207.219.198.18 | MDC</t>
  </si>
  <si>
    <t>carebridge-mihin/Medagate</t>
  </si>
  <si>
    <t>52.204.176.226</t>
  </si>
  <si>
    <t>Manjusha Nair - GuptaM@cvshealth.com
Naomi Swoboda - SwobodaN@cvshealth.com</t>
  </si>
  <si>
    <t>6/3 at 7:37pm - Senthil is no longer the contact. Added Manjusha and Naomi to assist.</t>
  </si>
  <si>
    <t>help@mihin.org/michael.sherman@mihin.org</t>
  </si>
  <si>
    <t>ADT file transffer and CGS application access</t>
  </si>
  <si>
    <t>CAREBRIDGE-MIHIN/MEDAGATE | VPN | MID-FW-VPN2 | 52.204.176.226 | MDC</t>
  </si>
  <si>
    <t>Carpenters Health
 of Western Washington</t>
  </si>
  <si>
    <t>208.187.205.52</t>
  </si>
  <si>
    <t xml:space="preserve"> Melissa Hostrawser - HostrawserM@aetna.com
 Kelli Higuera  - HigueraK@aetna.com</t>
  </si>
  <si>
    <t>Darren Kong - darrenk@ctww.org  Steve Erdman &lt;stevee@ctww.org&gt;</t>
  </si>
  <si>
    <t>CARPENTERS HEALTH
 OF WESTERN WASHINGTON | VPN | WIN-FW-VPN1 | 208.187.205.52 | WDC</t>
  </si>
  <si>
    <t>soasta</t>
  </si>
  <si>
    <t>67.111.67.3</t>
  </si>
  <si>
    <t>SOASTA | VPN | 67.111.67.3 | SHEA</t>
  </si>
  <si>
    <t xml:space="preserve">Crypto ACL: Outside_cryptomap_98
Cipher: ESP-AES-256-SHA
PFS Group: None
SA Lifetime: 1h
</t>
  </si>
  <si>
    <t>Spearhead</t>
  </si>
  <si>
    <t>107.198.23.9</t>
  </si>
  <si>
    <t>Terry  Werk</t>
  </si>
  <si>
    <t>SPEARHEAD | VPN | 107.198.23.9 | SHEA</t>
  </si>
  <si>
    <t>Crypto ACL: CVS_Spearhead
Cipher: AES256-SHA256
PFS Group: group14
SA Lifetime: 8h
Partner Side ARIN: Ms asma Surani08012012095823997</t>
  </si>
  <si>
    <t>Catholic Health Services (CHS)</t>
  </si>
  <si>
    <t>65.51.115.25</t>
  </si>
  <si>
    <t>Estella Bustos &lt;BustosE@aetna.com&gt;</t>
  </si>
  <si>
    <t>rich.chsrotek@chsli.org, CHS.ServiceDesk@chsli.org</t>
  </si>
  <si>
    <t>EPIC Care Link (carelink.chsli.org)</t>
  </si>
  <si>
    <t>CATHOLIC HEALTH SERVICES (CHS) | VPN | WIN-FW-VPN2 | 65.51.115.25 | WDC</t>
  </si>
  <si>
    <t>CDR</t>
  </si>
  <si>
    <t>138.69.2.25</t>
  </si>
  <si>
    <t>JUDITH.LEVIN@AETNA.COM</t>
  </si>
  <si>
    <t>Praseeth.Kalarikkal@conduent.com</t>
  </si>
  <si>
    <t>CDR | VPN | MID-FW-VPN1 | 138.69.2.25 | MDC</t>
  </si>
  <si>
    <t>cds</t>
  </si>
  <si>
    <t>66.212.140.202</t>
  </si>
  <si>
    <t>CDS | VPN | WIN-FW-VPN1 | 66.212.140.202 | WDC</t>
  </si>
  <si>
    <t>SXC</t>
  </si>
  <si>
    <t>204.225.133.149</t>
  </si>
  <si>
    <t>SXC | VPN | 204.225.133.149 | SHEA</t>
  </si>
  <si>
    <t>Crypto ACL: Outside_cryptomap_40
Cipher: ESP-AES-256-SHA
PFS Group: None
SA Lifetime: Default
Partner Side ARIN: Catamaran LLC</t>
  </si>
  <si>
    <t>Cedar_gate</t>
  </si>
  <si>
    <t>20.10.181.159</t>
  </si>
  <si>
    <t>CEDAR_GATE | VPN | WIN-FW-VPN1 | 20.10.181.159 | WDC</t>
  </si>
  <si>
    <t>tcs-noida</t>
  </si>
  <si>
    <t>121.241.116.210</t>
  </si>
  <si>
    <t>204.99.19.23(OLD ASA Device) and 204.99.19.73(Migrated Config to new FTD device),12.46.119.234</t>
  </si>
  <si>
    <t>Joni Manohar - jmanohar@cvshealth.com - 401-770-5436</t>
  </si>
  <si>
    <t>Vandita Kalia</t>
  </si>
  <si>
    <t>TCS-NOIDA | VPN | 121.241.116.210 | SHEA</t>
  </si>
  <si>
    <t>Crypto ACL: Outside_cryptomap_2
Cipher: ESP-3DES-SHA
PFS Group: None
SA Lifetime: 1h
Partner Side ARIN: TATA CONSULTANCY SERVICES LIMITED</t>
  </si>
  <si>
    <t>TELESOFT-CMX</t>
  </si>
  <si>
    <t>209.210.196.196</t>
  </si>
  <si>
    <t>Mitchell Super - mitchell.super@cvshealth.com - 480-391-4511</t>
  </si>
  <si>
    <t>4/27 at 11:27am - Initial email to partner contact (email undelivered)</t>
  </si>
  <si>
    <t>peter Cook - pdcook@telsoft.com - 602-308-1178 (email not valid)</t>
  </si>
  <si>
    <t>TELESOFT-CMX | VPN | 209.210.196.196 | SHEA</t>
  </si>
  <si>
    <t>Crypto ACL: Outside_cryptomap_3
Cipher: ESP-AES-256-SHA
PFS Group: None
SA Lifetime: Default
Partner Side ARIN: Allstream Business US, LLC</t>
  </si>
  <si>
    <t>Tension</t>
  </si>
  <si>
    <t>12.133.35.1</t>
  </si>
  <si>
    <t>TENSION | VPN | 12.133.35.1 | SHEA</t>
  </si>
  <si>
    <t xml:space="preserve">Crypto ACL: Outside_cryptomap_70
Cipher: ESP-AES-256-SHA
PFS Group: None
SA Lifetime: Default
Partner Side ARIN: AT&amp;T Enterprises, LLC </t>
  </si>
  <si>
    <t>teradata</t>
  </si>
  <si>
    <t>153.65.16.23</t>
  </si>
  <si>
    <t xml:space="preserve">Todd Rooks - todd.rooks@cvshealth.com; 
Kathleen A Kadziolka - kadziolkak@cvshealth.com
</t>
  </si>
  <si>
    <t>1/13 at 10:58 AM
2/9 at 3:25pm
4/28 at 3:57pm - Initial partner contact outreach (email not delivered)</t>
  </si>
  <si>
    <t>Thomas.Casey@teradata.com (email no longer valid)</t>
  </si>
  <si>
    <t>TERADATA | VPN | 153.65.16.23 | SHEA</t>
  </si>
  <si>
    <t>Crypto ACL: Outside_cryptomap_32 
Cipher: ESP-3DES-SHA
PFS Group: group2
SA Lifetime: Default
Partner Side ARIN: Teradata Operations, Inc</t>
  </si>
  <si>
    <t>Central Ohio Area Agency on Aging</t>
  </si>
  <si>
    <t xml:space="preserve">12.49.194.34  </t>
  </si>
  <si>
    <t>Hollie Tanzillo/Daniel Stegman</t>
  </si>
  <si>
    <t>6/9 - Initial CVS email</t>
  </si>
  <si>
    <t>John Crabtree@nemsys.com (419-304-0766) /
Blake Underwood@nemsyscom (419-243-3603)
ffarley@areaofficeonaging.com
Support@nemsys.com</t>
  </si>
  <si>
    <t>inbound</t>
  </si>
  <si>
    <t>Primary</t>
  </si>
  <si>
    <t>CENTRAL OHIO AREA AGENCY ON AGING | VPN | MID-FW-VPN1 | 12.49.194.34 | MDC</t>
  </si>
  <si>
    <t>Change Healthcare</t>
  </si>
  <si>
    <t>170.138.160.4</t>
  </si>
  <si>
    <t>jill.leayman@changehealthcare.com</t>
  </si>
  <si>
    <t>CHANGE HEALTHCARE | VPN | WIN-FW-VPN2 | 170.138.160.4 | WDC</t>
  </si>
  <si>
    <t>west1</t>
  </si>
  <si>
    <t>75.78.99.237</t>
  </si>
  <si>
    <t>WEST1 | VPN | 75.78.99.237 | SHEA</t>
  </si>
  <si>
    <t>Crypto ACL: Outside_cryptomap_170
Cipher: ESP-AES-256-SHA
PFS Group: None
SA Lifetime: 1h
Partner Side ARIN: SpaceX Services, Inc.</t>
  </si>
  <si>
    <t>West2</t>
  </si>
  <si>
    <t>75.78.160.141</t>
  </si>
  <si>
    <t>WEST2 | VPN | 75.78.160.141 | SHEA</t>
  </si>
  <si>
    <t>Crypto ACL: Outside_cryptomap_173
Cipher: ESP-AES-256-SHA
PFS Group: None
SA Lifetime: 1h
Partner Side ARIN: SpaceX Services, Inc.</t>
  </si>
  <si>
    <t>ZS</t>
  </si>
  <si>
    <t>05.Confirmed inactive tunnel to be decommissioned</t>
  </si>
  <si>
    <t>216.64.223.92</t>
  </si>
  <si>
    <t>Daniel J Reif</t>
  </si>
  <si>
    <t>ZS | VPN | 216.64.223.92 | SHEA</t>
  </si>
  <si>
    <t>PSS</t>
  </si>
  <si>
    <t>ABC/ABSG</t>
  </si>
  <si>
    <t>ABC (AmerisourceBergen) &amp;quot;John Park - 469.365.7866
Brannen Taylor - (704) 357-3071 x 5697</t>
  </si>
  <si>
    <t>Vendor</t>
  </si>
  <si>
    <t>ABC/ABSG | MPLS | SHEA</t>
  </si>
  <si>
    <t>Status confirmed by Kartheek Cheenepali as part of Firewall team migrations.</t>
  </si>
  <si>
    <t>ACS</t>
  </si>
  <si>
    <t>Lynrick Pleasant, lynrick.pleasant@cvshealth.com</t>
  </si>
  <si>
    <t>3/23 at 9:59am</t>
  </si>
  <si>
    <t>ACS (Conduent) - Sullivan, Barbara &lt;Barbara.Sullivan@conduent.com&gt;
ERSC_Omkar &lt;erschydcisco@list.att.com&gt;</t>
  </si>
  <si>
    <t>ACS | MPLS | SHEA</t>
  </si>
  <si>
    <t>5/6: Status confirmed by Kartheek Cheenepali as part of Firewall team migrations (scheduled for firewall migration not colo migration)</t>
  </si>
  <si>
    <t>Alere</t>
  </si>
  <si>
    <t>ALERE | MPLS | SHEA</t>
  </si>
  <si>
    <t>Arrive</t>
  </si>
  <si>
    <t>34.236.163.175</t>
  </si>
  <si>
    <t>no vpn tunnel</t>
  </si>
  <si>
    <t>Lauren Doyle
lauren.doty@cvshealth.com
Chinmoy Chatterjee - Chinmoy.Chatterjee@CVSHealth.com</t>
  </si>
  <si>
    <t>12/18 4:44pm
2/6 at 2:15pm
3/5 at 2:20pm - follow up and app info request
4/7 at 12:14pm - second follow up and app info request</t>
  </si>
  <si>
    <t>2/6 at 2:34pm - Lauren Doyle confirmed active and looped in Chinmoy Chatterjee as the IT lead overseeing the connection points.
4/7 at 12:30pm - Chinmoy checking with the clients</t>
  </si>
  <si>
    <t>DANIELLE.MACK@ARRIVEHEALTH.COM; 'Iain Irwin-Powell' &lt;iain.irwin-powell@arrivehealth.com&gt;</t>
  </si>
  <si>
    <t>RxClaim</t>
  </si>
  <si>
    <t>ARRIVE | VPN | 3.225.49.187 | SHEA</t>
  </si>
  <si>
    <t>Chinmoy Chatterjee is going to check with clients and respond back.</t>
  </si>
  <si>
    <t>34.196.94.190</t>
  </si>
  <si>
    <t xml:space="preserve">2/6 at 2:34pm - Lauren Doyle confirmed active and looped in Chinmoy Chatterjee as the IT lead overseeing the connection points.
4/7 at 12:30pm - Chinmoy checking with the clients
</t>
  </si>
  <si>
    <t>ARRIVE | VPN | 34.196.94.190 | SHEA</t>
  </si>
  <si>
    <t>3.225.49.187</t>
  </si>
  <si>
    <t xml:space="preserve">12/18 4:44pm
2/6 at 2:15pm
3/5 at 2:20pm - follow up and app info request
4/7 at 12:14pm - second follow up and app info request
</t>
  </si>
  <si>
    <t>ARRIVE | VPN | 34.236.163.175 | SHEA</t>
  </si>
  <si>
    <t>Arrive_Health</t>
  </si>
  <si>
    <t>34.193.175.86</t>
  </si>
  <si>
    <t>ARRIVE_HEALTH | VPN | 34.193.175.86 | SHEA</t>
  </si>
  <si>
    <t>Arrive-Stagging</t>
  </si>
  <si>
    <t>18.204.158.125</t>
  </si>
  <si>
    <t>ARRIVE-STAGGING | VPN | 18.204.158.125 | SHEA</t>
  </si>
  <si>
    <t>BCBSA</t>
  </si>
  <si>
    <t>216.104.80.127</t>
  </si>
  <si>
    <t>12.46.119.234,204.99.19.23(OLD ASA)</t>
  </si>
  <si>
    <t>Lars Sorensen - Lars.Sorensen@CVSCaremark.com - 847-484-9406 (not at CVS anymore)
Sreenivasarao Inturi - Sreenivasarao.Inturi@caremark.com - 8472277906 (not at CVS anymore)</t>
  </si>
  <si>
    <t>4/21 at 3:26pm - Initial email
4/24 at 12:01pm - Asked a follow up to ensure all details are captured</t>
  </si>
  <si>
    <t>4/22 at 4:36pm - Jeffrey Galando responded back confirming connection is active</t>
  </si>
  <si>
    <t>Jeff Galando - Jeffrey.Galando@BCBSAL.ORG (Main network contact)
Christopher Love - Christopher.Love@bcbsal.org (Main network contact)
Sahteesh - Satheesh.Abhiram@BCBSAL.ORG - 205-639-3708 (MQ contact)</t>
  </si>
  <si>
    <t>BCBSA | VPN | 216.104.80.127 | SHEA</t>
  </si>
  <si>
    <t>MQ Sessions Active:
204.99.1.30 &gt;&gt;&gt; 216.104.93.14 (port 1490)
216.104.92.243 &gt;&gt;&gt; 204.99.1.30 (port 1416)
BCBS VPN Encryption domain:
216.104.93.14
216.104.92.243
216.104.93.112
216.104.93.13
216.104.92.64
CVS VPN Encryption Domain:
204.99.1.30
204.99.53.30</t>
  </si>
  <si>
    <t>BCBSLA</t>
  </si>
  <si>
    <t>66.248.253.193</t>
  </si>
  <si>
    <t>Smith, Jeffrey &lt;Jeffrey.Smith3@CVSHealth.com&gt;</t>
  </si>
  <si>
    <t>12/19 at 11:29am</t>
  </si>
  <si>
    <t>12/22 at 11:59am with questions
1/9 at 10:43am - I replied to his email with questions but expect the dialogue to continue
1/14 at 11:36am - Added MQ Team Management for awareness
1/14 at 11:45am - MQ Team responded confirming migration plans</t>
  </si>
  <si>
    <t>Michael.skinner@bcbsla.com
Ricky Gomez - Ricky.Gomez@bcbsla.com
Corey Mead - Corey.Mead@bcbsla.com</t>
  </si>
  <si>
    <t>CDH (Consumer-Directed Health) Integrated Accumulators</t>
  </si>
  <si>
    <t>BCBSLA | VPN | 66.248.253.193 | SHEA</t>
  </si>
  <si>
    <t>BCBS-MN</t>
  </si>
  <si>
    <t>159.136.224.25</t>
  </si>
  <si>
    <t>Eileen.Erenberg@cvshealth.com
Robert.Merenick@CVSHealth.com
Sherri Zarra - sherri.zarra@cvshealth.com - supporter POC (in charge of BCBS-CA)</t>
  </si>
  <si>
    <t>12/18 5:07pm
3/9 at 11:11am - follow up and app info request</t>
  </si>
  <si>
    <t>12/22 at 1:39pm - Looping in Sherri Zarra
12/22 at 1:43pm - Confirmed receipt. Sherri is the correct POC. She needs time to research
3/9 at 1:29pm - Sherri looped in Eileen.Erenberg@cvshealth.com to help with BCBSMN
3/9 at 1:55pm - Confirmed active and looped in Robert.Merenick@CVSHealth.com
3/9 at 1:57pm - Added Karolina.NosalPlanica@CVSHealth.com</t>
  </si>
  <si>
    <t xml:space="preserve">Kathy Muench - kathleen.muench@bluecrossmn.com - (651) 662-6915 </t>
  </si>
  <si>
    <t>BCBS-MN | VPN | 159.136.224.25 | SHEA</t>
  </si>
  <si>
    <t>BCBSNC</t>
  </si>
  <si>
    <t>170.69.2.4</t>
  </si>
  <si>
    <t>204.99.19.23(OLD ASA)-Active</t>
  </si>
  <si>
    <t>Delmerico, Beth. &lt;Mary.Delmerico@CVSHealth.com&gt;
Fowler, Shanna
CDH Prod Support</t>
  </si>
  <si>
    <t>12/18 5:12pm
2/6 at 2:07pm
3/5 at 2:29pm - follow up and app info request</t>
  </si>
  <si>
    <t>2/6 at 2:58pm - Beth Delmerico confirmed the connection is still in use and needed.
2/6 at 3:00pm - Shanna Fowler looped in CDH Prod Support
2/6 at 3:17pm - CDHIA replied back with information on each VPN connection</t>
  </si>
  <si>
    <t>Sheshan.Srivathsa@bcbsnc.com; Hiten.Sura@bcbsnc.com</t>
  </si>
  <si>
    <t>BCBSNC | VPN | 170.69.2.4 | SHEA</t>
  </si>
  <si>
    <t>Crypto ACL: CVS_BCBSNC
Cipher: AES256-SHA256
PFS Group: group14
SA Lifetime: Default</t>
  </si>
  <si>
    <t>bcbsri</t>
  </si>
  <si>
    <t>12.11.185.226</t>
  </si>
  <si>
    <t>204.99.19.23(OLD ASA)</t>
  </si>
  <si>
    <t>Chante Foster &lt;Chante.Foster@bcbsri.org&gt;</t>
  </si>
  <si>
    <t>BCBSRI | VPN | 12.11.185.226 | SHEA</t>
  </si>
  <si>
    <t>bcbs-tennessee</t>
  </si>
  <si>
    <t>208.21.37.66</t>
  </si>
  <si>
    <t>Firewall Ops Team</t>
  </si>
  <si>
    <t>800-826-4068   EDIServices@bcbsms.com</t>
  </si>
  <si>
    <t>BCBS-TENNESSEE | VPN | 208.21.37.66 | SHEA</t>
  </si>
  <si>
    <t>Under RxClaim according to Steve Sterling.</t>
  </si>
  <si>
    <t>RI</t>
  </si>
  <si>
    <t>Retail</t>
  </si>
  <si>
    <t>Anthem</t>
  </si>
  <si>
    <t>Migrated to Firepower device within the DC</t>
  </si>
  <si>
    <t>Farhan Khan, Farhan.Khan@CVSHealth.com - correct POC
Ashley Smith, ashley.smith10@cvshealth.com - not the correct POC
HPSMChgAssist (PBM) HPSMChgAssist@cvscaremark.com
Herring, Rhonda &lt;Rhonda.Herring@CVSHealth.com&gt;, 
Basalat, Mohammed &lt;Mohammed.Basalat@CVSHealth.com&gt;</t>
  </si>
  <si>
    <t>3/23 at 11:14am - Initial email and app info request
4/1 at 10:20am - Parsia responded back asking if she has the correct POC
4/15 at 12:30pm - Eric messaged Farhan (new POC) for app info and request</t>
  </si>
  <si>
    <t>3/31 at 5:39pm - Believes she is not the right person</t>
  </si>
  <si>
    <t>White, Steve 
Moody, Tom 
Swift, John &lt;john.swift@Ingenio-RX.com&gt;steve.white@anthem.com 
tom.moody@anthem.com
Dat.Truong@anthem.com</t>
  </si>
  <si>
    <t>ANTHEM | MPLS | RI</t>
  </si>
  <si>
    <t>5/6: Status confirmed by Kartheek Cheenepali as part of Firewall team migrations (scheduled for firewall migration not colo migration)
Steven Stirling mentioned this connection should be VPN and not MPLS. There are also multiple connections, one of which is for the Lites service.</t>
  </si>
  <si>
    <t>ANTHEM | MPLS | SHEA</t>
  </si>
  <si>
    <t>RI and AZ</t>
  </si>
  <si>
    <t>CBTS</t>
  </si>
  <si>
    <t>One connection only but this vendor has 2 tunnels on RI side and also on AZ</t>
  </si>
  <si>
    <t>216.195.94.100</t>
  </si>
  <si>
    <t>12.46.119.234</t>
  </si>
  <si>
    <t>Abbas.Ali@CVSHealth.com</t>
  </si>
  <si>
    <t>12/19 at 11:31am
4/10 at 12:44pm - follow up and app info request
4/30: Firewall ops provided contact and confirmed status of connection is active</t>
  </si>
  <si>
    <t>Vinod Krishnan - 480-882-8997</t>
  </si>
  <si>
    <t>CBTS | VPN | 216.195.94.100 | RI AND AZ</t>
  </si>
  <si>
    <t>-4/30: Firewall ops provided contact and confirmed status of connection is active
one connection only but this vendor has 2 tunnels on RI side and also on AZ
Marked as Blocked due to no response as of 4/28 and no partner contact listed
No response from contacts - listed as decommissioned on initial list.</t>
  </si>
  <si>
    <t>CDH (ALLEGIANCE BENEFIT PLAN)</t>
  </si>
  <si>
    <t>69.146.16.131</t>
  </si>
  <si>
    <t>jeffrey.smith3@cvshealth.com</t>
  </si>
  <si>
    <t>Networking_IT_DL@askallegiance.com</t>
  </si>
  <si>
    <t>CDH (ALLEGIANCE BENEFIT PLAN) | VPN | 69.146.16.131 | SHEA</t>
  </si>
  <si>
    <t>Crypto ACL: CDH_ACL
Cipher: AES256-SHA256
PFS Group: group5
SA Lifetime: 8h</t>
  </si>
  <si>
    <t>APAC/Alorica</t>
  </si>
  <si>
    <t>Alexis Yonkovic, alexis.yonkovic@cvshealth.com - not the correct POC
Frances McKissick - not the correct POC
Michael Graff (Retail related calls)
Adam Concoski (PBM related calls)</t>
  </si>
  <si>
    <t>3/23 at 11:14am - Initial email and app info request
3/24 at 1:18pm - Parsia replied with clarifying details
4/17 at 11:34am - Parsia replied with additional details for Michael</t>
  </si>
  <si>
    <t>3/23 at 12:10pm - Frances replied adding Michael Graff and Adam Concoski who managed Alorica to help with the request
3/24 at 10:53am - Lexi replied back asking for clarification
3/24 at 1:21pm - Lexi: "I do not think I am the correct contact for this. Alorica was a client of mine when I was on the Caremark side but am now on the retail side. Not sure how or why a PBM contact would be needed for this."
4/17 at 9:54am - Michael replied asking for clarifying details</t>
  </si>
  <si>
    <t>APAC/Alorica - Frederick Del Socorro
IT Project Manager | Alorica | Philippines | O 1-800 260 5570 Ext. 2159912 | C 011-63 917 707 0230 | alorica.com | frederick.delsocorro@alorica.com, MATT.MATTIE@ALORICA.COM
ALORICA:  Support Team Standby POCs can be contacted in case their presence is required. Ops POC added in case we ran some issues with testers.
 Network Implementer : Eugene Gabriel Manangan (eugenegabriel.manangan@alorica.com)
(standby network): Paulino Gomez (Paulino.Gomez2@alorica.com)
EUS Remote Support: Robert Pritchard (Robert.Pritchard@alorica.com)
(standby EEM): Ed Lacy (Egganan.Lacy@alorica.com)
Change Coordinators: Leonora “Eon” Lauron (leonora.lauron@alorica.com) and Earl Ian Soyosa (earlian.soyosa@alorica.com)
Wave 5 Ops POC: Meghann Morrison (Meghann.Morrison@alorica.com)
(standby ITPM): Frederick Del Socorro (Frederick.DelSocorro@alorica.com)
Meghann Morrison &lt;Meghann.Morrison@alorica.com&gt;; Stephen Francis Mercado &lt;StephenFrancis.Mercado@alorica.com&gt;; Charles De Luna &lt;Charles.DeLuna@alorica.com&gt;; Turquoisse Grant Anderson &lt;Turquoisse.GrantAnderson@alorica.com&gt;; Wilfredo Papa &lt;Wilfredo.Papa@alorica.com&gt;; Clarissa Andaya &lt;clarissa.andaya@alorica.com&gt;; Nicole Krohe &lt;Nicole.Krohe@alorica.com&gt; , Bergin, Timothy M. &lt;Timothy.Bergin@CVSHealth.com&gt;; ; Fernan David &lt;Fernan.David@alorica.com&gt; ; Melissa Williams &lt;Melissa.Williams3@alorica.com&gt;</t>
  </si>
  <si>
    <t xml:space="preserve">Completed </t>
  </si>
  <si>
    <t>APAC/ALORICA | MPLS | RI</t>
  </si>
  <si>
    <t>5/6: Status confirmed by Kartheek Cheenepali as part of Firewall team migrations (scheduled for firewall migration not colo migration) - Migration to Firepower completed</t>
  </si>
  <si>
    <t>APAC/ALORICA | MPLS | SHEA</t>
  </si>
  <si>
    <t>CSGI</t>
  </si>
  <si>
    <t>205.144.147.10</t>
  </si>
  <si>
    <t>will be decomm this</t>
  </si>
  <si>
    <t>Ginger.Stahr@CVSHealth.com
Aleksandr.Shuster@CVSHealth.com
Ritesh Pal - Ritesh.pal2@cvshealth.com - 4017705466 (no longer valid)
Ranjit Panda - ranjit.panda@cvshealth.com - 401-770-9342 (no longer valid)</t>
  </si>
  <si>
    <t>1/13 at 4:05 PM
2/2 at 10:28am - Parsia replied back clarifying the request
4/7 at 9:32am - Sent app info request</t>
  </si>
  <si>
    <t>1/13 at 4:58 PM - New POCs - Ginger.Stahr@CVSHealth.com and Aleksandr.Shuster@CVSHealth.com
1/23 at 1:03pm - Asks if we are in need of ROCM resources for this or CSG vendor resources
2/6 at 10:57am- In use to the best of their knowledge
4/7 at 10:32am - Added MadhusudhanG@aetna.com to help identify application(s)</t>
  </si>
  <si>
    <t>PradeepKumar.Karaka@csgi.com -T +91 804 623 2113  |  M +91 910 840 3435
Gerry Hoffe - gerry.hoffe@csgi.com - 905-944-6961</t>
  </si>
  <si>
    <t>CSGI | VPN | 205.144.147.10 | SHEA</t>
  </si>
  <si>
    <t>Crypto ACL: Outside_cryptomap_223
Cipher: ESP-AES-128-SHA, ESP-AES-128-MD5
PFS Group: None
SA Lifetime: Default</t>
  </si>
  <si>
    <t>CVS_NICE_DR</t>
  </si>
  <si>
    <t>54.70.28.29</t>
  </si>
  <si>
    <t>decommisioned and Migrated to FTD 204.99.19.73 and 12.46.119.234</t>
  </si>
  <si>
    <t>scott Deatherage - Scott.Deatherage13@cvshealth.com - 972-813-3633
Peter Rochard - Peter.Rochard@cvshealth.com - 480-452-7185</t>
  </si>
  <si>
    <t>1/15 at 3:00pm
2/10 at 10:41am
4/7 at 12:00pm - app info request</t>
  </si>
  <si>
    <t>Shyamala.Janani@CVSHealth.com</t>
  </si>
  <si>
    <t>Vishal Pandita &lt;Vishal.Pandita@nice.com&gt; (M) +91 (96) 8254 8337</t>
  </si>
  <si>
    <t>CVS_NICE_DR | VPN | 54.70.28.29 | SHEA</t>
  </si>
  <si>
    <t>This is a Nice hosted transit network firewall public IP used for US WEST 2 region.
Crypto ACL: CVS_NICE_DR
Cipher: ESP-AES256-SHA
PFS Group: None
SA Lifetime: 1h</t>
  </si>
  <si>
    <t>CollectiveHealth</t>
  </si>
  <si>
    <t>52.25.215.13</t>
  </si>
  <si>
    <t>Bradley Lopes - Bradley.Lopes@CVSHealth.com</t>
  </si>
  <si>
    <t>1/16 at 4:13pm
1/22 at 9:48am - Parsia replied back with additional information about the connections
4/7 at 11:52am - App info request
5/6 at 10:37am - Initial partner contact outreach</t>
  </si>
  <si>
    <t>1/16 at 6:34pm - Confirmed he is the account executive but not sure what the connections are used for or if they're still needed
1/22 at 11:29am - Confirmed the client is still active and the connection should be as well</t>
  </si>
  <si>
    <t>ahmed.abdirahman@collectivehealth.com and claims_service@collectivehealth.com.; Michael Garza &lt;michael.garza@collectivehealth.com&gt;</t>
  </si>
  <si>
    <t>COLLECTIVEHEALTH | VPN | 52.25.215.13 | PDX</t>
  </si>
  <si>
    <t>Crypto ACL: Outside_cryptomap_160
Cipher: ESP-AES-256-SHA
PFS Group: None
SA Lifetime: 1h</t>
  </si>
  <si>
    <t>52.8.131.96</t>
  </si>
  <si>
    <t>204.99.19.23 Active on OLD ASA</t>
  </si>
  <si>
    <t>1/16 at 6:34pm - Confirmed he is the account executive but not sure what the connections are used for or if they're still needed
1/22 at 9:48am - Parsia replied back with additional information about the connections
1/22 at 11:29am - Confirmed the client is still active and the connection should be as well</t>
  </si>
  <si>
    <t>COLLECTIVEHEALTH | VPN | 52.8.131.96 | PDX</t>
  </si>
  <si>
    <t>Crypto ACL: Outside_cryptomap_161
Cipher: ESP-AES-256-SHA
PFS Group: None
SA Lifetime: 1h</t>
  </si>
  <si>
    <t>emc</t>
  </si>
  <si>
    <t>204.75.144.14</t>
  </si>
  <si>
    <t>Sean Bradley</t>
  </si>
  <si>
    <t>3/4 at 12:50pm</t>
  </si>
  <si>
    <t>3/4 at 12:59pm - Sean Bradley confirmed that emc is the dial home for all the Dell equipment.</t>
  </si>
  <si>
    <t>Madhavi Chaliki (madhavi.chaliki@emc.com)</t>
  </si>
  <si>
    <t>EMC | VPN | 204.75.144.14 | SHEA</t>
  </si>
  <si>
    <t>Group Policy: emc-rms-dr
Crypto ACL: Outside_cryptomap_63
Cipher: ESP-AES-256-SHA
PFS Group: None
SA Lifetime: 1h</t>
  </si>
  <si>
    <t>204.75.145.14</t>
  </si>
  <si>
    <t>EMC | VPN | 204.75.145.14 | SHEA</t>
  </si>
  <si>
    <t>Group Policy: emc-rms
Crypto ACL: Outside_cryptomap_61
Cipher: ESP-AES-256-SHA
PFS Group: None
SA Lifetime: 1h</t>
  </si>
  <si>
    <t>British Telecom</t>
  </si>
  <si>
    <t>Medeiros, Karen L. &lt;Karen.Medeiros@CVSHealth.com&gt;</t>
  </si>
  <si>
    <t>3/23 at 11:25am - Initial email and app info request</t>
  </si>
  <si>
    <t>adam.collinsworth@bt.com,
john.2.hawkins@bt.com</t>
  </si>
  <si>
    <t>BRITISH TELECOM | MPLS | RI</t>
  </si>
  <si>
    <t>BRITISH TELECOM | MPLS | SHEA</t>
  </si>
  <si>
    <t>Capgemini</t>
  </si>
  <si>
    <t>Ashley Smith, ashley.smith10@cvshealth.com
OTIA DevOps &amp;lt;OTIADevOps@CVSHealth.com&amp;gt;
Tan, Anil &amp;lt;Anil.Tan2@CVSHealth.com&amp;gt;
Padri, Ramesh &amp;lt;ramesh.padri@capgemini.com&amp;gt;  
Aymar, Christopher &amp;lt;caymar@cvshealth.com&amp;gt;</t>
  </si>
  <si>
    <t>4/28 initial outreach</t>
  </si>
  <si>
    <t>Gheek, Nikhil &amp;lt;nikhil.gheek@capgemini.com&amp;gt;
Trehan, Achal &amp;lt;achal.trehan@capgemini.com&amp;gt;
Angamuthu, Saravanan &amp;lt;saravanan.angamuthu@capgemini.com&amp;gt;
Kumar, Oruganti V S P &amp;lt;oruganti-v-s-p.kumar@capgemini.com&amp;gt;
Troy McCleery | Senior Manager Application Develop
Enterprise Automation
PSS IT Finance Solutions &amp;amp; Innovation
385-900-4871 Office
So we no longer need this MPLS connection.Ray Hamilton - Vendor</t>
  </si>
  <si>
    <t>CAPGEMINI | MPLS | RI</t>
  </si>
  <si>
    <t>5/6: Status confirmed by Kartheek Cheenepali as part of Firewall team migrations (scheduled for firewall migration not colo migration) - Migration to Firepower device completed
Capgemini is no longer being retained by the RPA Enterprise team to do development work</t>
  </si>
  <si>
    <t>CAPGEMINI | MPLS | SHEA</t>
  </si>
  <si>
    <t>Maryland_Conduent</t>
  </si>
  <si>
    <t>Chad Cook - cookc5@aetna.com (probably not the correct POC)
Heather Graham</t>
  </si>
  <si>
    <t>1/15 at 10:17am
2/10 at 11:02am</t>
  </si>
  <si>
    <t>2/10 at 11:15am - Added WoodA3@aetna.com and MartinK11@aetna.com to provide more info
2/10 at 3:14pm - Kasey Martin believes the connection is not Aetna related and so they're not the correct POCs</t>
  </si>
  <si>
    <t>matthew.neis@conduent.com</t>
  </si>
  <si>
    <t>MARYLAND_CONDUENT | VPN | 138.69.2.25 | SHEA</t>
  </si>
  <si>
    <t>According to Heather Graham: "Assuming this is the connection for Maryland Medicaid pharmacy claim adjudication, the vendor’s system sends claims to HPNS/DRS which sends claims to RxClaim for adjudication.  I do not have the IP address. Others on CC may have it."</t>
  </si>
  <si>
    <t>Medi-span</t>
  </si>
  <si>
    <t>160.109.98.44</t>
  </si>
  <si>
    <t>Thomas White, Thomas.White@CVSHealth.com</t>
  </si>
  <si>
    <t>2/3 at 4:20pm</t>
  </si>
  <si>
    <t>2/4 at 8:42am - Thomas White sent a lot of information and included Padmalatha Ajit and Juliao Chandra.</t>
  </si>
  <si>
    <t>Sherri Jones 317-735-5313 Sherri.Jones@WoltersKluwer.com</t>
  </si>
  <si>
    <t>MEDI-SPAN | VPN | 160.109.98.44 | SHEA</t>
  </si>
  <si>
    <t>Refer to email from Thomas White on 2/4/2026 for additional information. It appears the connection is active and retrieving daily/weekly files from Medispan Server.
Crypto ACL: Outside_cryptomap_82
Cipher: ESP-3DES-MD5
PFS Group: None
SA Lifetime: Default</t>
  </si>
  <si>
    <t>NICE</t>
  </si>
  <si>
    <t>34.236.93.148</t>
  </si>
  <si>
    <t xml:space="preserve">12.46.119.234 </t>
  </si>
  <si>
    <t>Shyamala.Janani@CVSHealth.com
Scott Deatherage - Scott.Deatherage13@cvshealth.com - 972-813-3633
Peter Rochard - peter.rochard@cvshealth.com - 480-452-7185</t>
  </si>
  <si>
    <t>2/11 at 8:04am - Added Moazzam.Lodhi@CVSHealth.com to the email
2/11 at 10:21am - Confirmed IP address is connected to NICE and online</t>
  </si>
  <si>
    <t>Vishal Pandita &lt;Vishal.Pandita@nice.com&gt;</t>
  </si>
  <si>
    <t>NICE | VPN | 34.236.93.148 | SHEA</t>
  </si>
  <si>
    <t>This is a Nice hosted transit network firewall public IP used for CVS VPN (us-east).
Crypto ACL: CVS_NICE
Cipher: ESP-AES-128-SHA, ESP-AES-128-MD5
PFS Group: None
SA Lifetime: 1h</t>
  </si>
  <si>
    <t>nuance</t>
  </si>
  <si>
    <t>199.4.160.141</t>
  </si>
  <si>
    <t xml:space="preserve">Hannah R Valenti - hannah.r.valenti@cvshealth.com
Stephen.Young2@CVSHealth.com
Andrea.Stanger@CVSHealth.com
</t>
  </si>
  <si>
    <t>1/13 at 2:19 PM
4/7 at 12:23pm - app info request</t>
  </si>
  <si>
    <t>1/14 at 10:04am - Thinks connection no longer in use, looping in additional person to confirm.
1/20 at 11:56am - Connection is in use and required. Loop in Mike Borrelli’s engineering team for Clinical PA IVR and CCVA migration</t>
  </si>
  <si>
    <t>craig.mcclellan@nuance.com</t>
  </si>
  <si>
    <t>NUANCE | VPN | 199.4.160.141 | SHEA</t>
  </si>
  <si>
    <t>Crypto ACL: Outside_cryptomap_91
Cipher: ESP-3DES-SHA
PFS Group: None
SA Lifetime: Default</t>
  </si>
  <si>
    <t>Omnicare</t>
  </si>
  <si>
    <t>12.1.91.12</t>
  </si>
  <si>
    <t>Todd Reimann</t>
  </si>
  <si>
    <t>3/4 at 12:37pm
3/31 at 11:41am
4/1 at 10:58am - app info request</t>
  </si>
  <si>
    <t>4/1 at 10:41am - POC confirmed connections are still active and in-use
4/1 at 12:01pm - They have no way of knowing the apps; need network team to identify.</t>
  </si>
  <si>
    <t>Dan.Nashland@omnicare.com
Matt.Kuehl@omnicare.com</t>
  </si>
  <si>
    <t>OMNICARE | VPN | 12.1.91.12 | SHEA</t>
  </si>
  <si>
    <t>-Crypto ACL: Outside_cryptomap_168
Cipher: ESP-AES-256-SHA
PFS Group: None
SA Lifetime: 1h</t>
  </si>
  <si>
    <t>63.146.162.106</t>
  </si>
  <si>
    <t>OMNICARE | VPN | 63.146.162.106 | SHEA</t>
  </si>
  <si>
    <t>-Crypto ACL: Outside_cryptomap_169
Cipher: ESP-AES-256-SHA
PFS Group: None
SA Lifetime: 1h</t>
  </si>
  <si>
    <t>OmniCare_Integration</t>
  </si>
  <si>
    <t>216.66.77.106</t>
  </si>
  <si>
    <t>OMNICARE_INTEGRATION | VPN | 216.66.77.106 | SHEA</t>
  </si>
  <si>
    <t>Crypto ACL: Outside_cryptomap_121
Cipher: ESP-AES-128-SHA, ESP-AES-128-MD5
PFS Group: None
SA Lifetime: Default</t>
  </si>
  <si>
    <t>pebtf</t>
  </si>
  <si>
    <t>65.242.32.178</t>
  </si>
  <si>
    <t>12/19 at 11:51am
2/5 at 5:03pm
4/27 at 11:23am - Reached out to partner contact
4/28 at 10:29am - Parsia replied back asking if they can provide more details</t>
  </si>
  <si>
    <t>2/5 at 5:14pm - Kelly Straub is not the correct. She does not know who to reach out to.
4/28 at 8:13am - Confirmed the partner peer IP is active</t>
  </si>
  <si>
    <t>John-Marc Blanch Emai ID:-jmblanch@p ebtf.org
czimmerman@pebtf.org (main partner POC who responded back)</t>
  </si>
  <si>
    <t>PEBTF | VPN | 65.242.32.178 | SHEA</t>
  </si>
  <si>
    <t>Crypto ACL: Outside_88_cryptomap
Cipher: ESP-AES-256-SHA
PFS Group: None
SA Lifetime: 8h</t>
  </si>
  <si>
    <t>Premera</t>
  </si>
  <si>
    <t>199.187.70.3</t>
  </si>
  <si>
    <t>Andrew Sutton - andrew.sutton@cvshealth.com</t>
  </si>
  <si>
    <t>1/13 at 2:34 PM
4/7 at 12:26pm - app info request
4/22 at 9:01am - reached out to partner contact, Olga, for additional info gathering</t>
  </si>
  <si>
    <t xml:space="preserve">1/13 at 8:28pm - From Andrew Sutton: "We are contractually obligated to provide “run out” services for their terminated Medicare Part D plan from 1/1/2025 – 12/31/2027."
4/8 at 8:00pm - Andrew is not aware of the connections specifically just the client
4/23 at 5:49pm - Olga responded back looping Andrew back in the conversation
</t>
  </si>
  <si>
    <t>Deanna Alvarado /Deanna.Alvarado@PREMERA.com /425-918-4208 
olga.piatek@premera.com</t>
  </si>
  <si>
    <t>PREMERA | VPN | 199.187.70.3 | SHEA</t>
  </si>
  <si>
    <t>We are contractually obligated to provide “run out” services for their terminated Medicare Part D plan from 1/1/2025 – 12/31/2027.</t>
  </si>
  <si>
    <t>Serco</t>
  </si>
  <si>
    <t>122.15.124.50</t>
  </si>
  <si>
    <t xml:space="preserve">Andrew Zehnder andrew.zehnder@cvshealth.com; 
</t>
  </si>
  <si>
    <t>1/15 at 2:08pm
2/9 at 4:51pm
2/10 at 1:28pm - Parsia replied back clarifying connection details and asked for contact info
2/12 at 11:14am - Parsia replied back asking if he may know a contact to keep on record
4/27 at 1:02pm - Initial partner contact email
4/27 at 2:25pm - Parsia provided clarifying answers</t>
  </si>
  <si>
    <t>2/10 at 12:31pm - Andrew replied asking what the B2B connection is and if we need client and/or consultant contact
2/10 at 1:39pm - Andrew replied clarifying the partner is still an active partner but doesn't know details about the connection specifically
2/12 at 11:29am - Provide vendor contact info to reach out to
4/27 at 1:28pm - Omar asked clarifying questions</t>
  </si>
  <si>
    <t>Omar Rivera - Omar.Rivera@wtwco.com
Liz.Trimmer@wtwco.com
Yemisi.Aladekomo@wtwco.com
Ethan.Queen@wtwco.com
Kwaku.Okrah@wtwco.com
Manjula.Jayabalan@wtwco.com</t>
  </si>
  <si>
    <t>SERCO | VPN | 122.15.124.50 | SHEA</t>
  </si>
  <si>
    <t>Partner is confirmed to be an active partner but need additional connection details
Group Policy: SercoDR
Crypto ACL: Outside_cryptomap_167
Cipher: ESP-AES-256-SHA
PFS Group: None
SA Lifetime: 1h</t>
  </si>
  <si>
    <t>14.140.94.85</t>
  </si>
  <si>
    <t>SERCO | VPN | 14.140.94.85 | SHEA</t>
  </si>
  <si>
    <t>Partner is confirmed to be an active partner but need more info for migration.
Group Policy: Serco
Crypto ACL: Outside_cryptomap_164
Cipher: ESP-AES-256-SHA
PFS Group: None
SA Lifetime: 1h</t>
  </si>
  <si>
    <t>TCS_SIRUSERI</t>
  </si>
  <si>
    <t>121.241.146.28</t>
  </si>
  <si>
    <t>Kenneth Goldberg - kenneth.goldberg@cvshealth.com - 401-770-9194</t>
  </si>
  <si>
    <t>1/13 at 2:07 PM</t>
  </si>
  <si>
    <t>1/14 at 7:30am - Kannan should be removed as a partner contact; asked if the connection appears to be in use. Replies back on 1/16 10:59am
1/16 at 11:20am - Added Ranjeet Kumar - ranjeet1.k@tcs.com to check on the TCS side 
1/26 at 5:10am - Confirmed IP address information and confirmed connection is active/in-use</t>
  </si>
  <si>
    <t>TCS - kannan.subramanian@cvshealth.com</t>
  </si>
  <si>
    <t>TCS_SIRUSERI | VPN | 121.241.146.28 | SHEA</t>
  </si>
  <si>
    <t>-Crypto ACL: PSS_TCS_SIRUSERI_ACL
Cipher: AES256-SHA256
PFS Group: group14
SA Lifetime: 8h</t>
  </si>
  <si>
    <t>ChangeHealthCare</t>
  </si>
  <si>
    <t>Graham, Heather L. &lt;Heather.Graham@CVSHealth.com&gt;</t>
  </si>
  <si>
    <t>Heather Graham (She.Her.Hers.) Director, Network Standards, CVS Caremark  214-537-0421  connected to eRx Network (aka Change Healthcare) thru MPLS anymore</t>
  </si>
  <si>
    <t>CHANGEHEALTHCARE | MPLS | RI AND AZ</t>
  </si>
  <si>
    <t>Change Healthcare (Emdeon) eRx Network (previously known as Emdeon) -no more on MPLS FW+
Confirmed Active due to ChangeHealthCare being an RxClaim component by Steven Sterling. For migration, confirm again with the POC.
Marking as decommissioned due to MPLS being blocked. Confirm again with POC during migration.</t>
  </si>
  <si>
    <t>Cognizant</t>
  </si>
  <si>
    <t>Yamee, Mohan Reddy (Cognizant) &amp;lt;MohanReddy.Yamee@cognizant.com&amp;gt;
Vark, Charles &amp;lt;Charlie.Vark@CVSHealth.com&amp;gt;
Kharadi, Raag (Contractor) &amp;lt;Raag.Kharadi@CVSHealth.com&amp;gt;
Valakonda, Arun K (Contractor) &amp;lt;Arun.Valakonda@CVSHealth.com&amp;gt;
KoilJebarajRajasingh, DanielRajImmanuel &amp;lt;Danielrajimmanuel.KoilJebarajRajasingh@CVSHealth.com&amp;gt;
Jasti, Sridhar (Cognizant) &amp;lt;Sridhar.Jasti@cognizant.com&amp;gt;
Ayres, Alan (Cognizant) &amp;lt;Alan.Ayres@cognizant.com&amp;gt;
Bhattarai, Deben (Cognizant) &amp;lt;deben.bhattarai@cognizant.com&amp;gt;
Ramagowni, Srujan (Cognizant) &amp;lt;Srujan.Ramagowni@cognizant.com&amp;gt;
Bera, Shantanu (Cognizant) &amp;lt;Shantanu.Bera@cognizant.com&amp;gt;
Narayanan, Srinivasan (Cognizant) &amp;lt;Srinivasan.Narayanan@cognizant.com&amp;gt;
Ippili, Serat Babu &amp;lt;SeratBabu.Ippili@CVSHealth.com&amp;gt;
Patricia Tetreault - patricia.tetreault@cvshealth.com
Alain Lavelanet - alavelanet@cvshealth.com - 401-770-6296
Wade Prestridge - Wade.Prestridge@caremark.com - 772-8160
Kashif Hussain - kashif.hussian@cvscaremark.com - 254-640-7030
John Simon - john.simon@caremark.com - 480-314-8640</t>
  </si>
  <si>
    <t>Shantanu Bera - m 303-882-7480 / 203-349-0360: shantanu.bera@cognizant.com
Shantanu Bera - m 303-882-7480 / 203-349-0360 shantanu.bera@cognizant.com
vinoth pappannan - vinoth.pappannan@cognizant.com - +91-73977-32702
Nadiger Anil  - AnilBegur.Nadiger@CVSHealth.com - 214-543-8787
Vivek Kumar - vivek.kumar1@cvscaremark.com - 928-286-7898
vinoth pappannan - vinoth.pappannan@cognizant.com - +91-73977-32702
Ashiqueahamaed.basheer@cognizant.com - +91 9944989114</t>
  </si>
  <si>
    <t xml:space="preserve">Interfaces with FACET - </t>
  </si>
  <si>
    <t>COGNIZANT | MPLS | RI</t>
  </si>
  <si>
    <t>COGNIZANT | MPLS | SHEA</t>
  </si>
  <si>
    <t>Concentrix</t>
  </si>
  <si>
    <t>Sarah Smith480-620-0462
Brett, Kathleen E &lt;Kathleen.Brett2@CVSHealth.com&gt;
Walsh, Kelly M &lt;KellyMWalsh@CVSHealth.com&gt;
Puckett, Catrina A &lt;Catrina.Puckett@CVSHealth.com&gt;
Hilton, Brian R &lt;Brian.Hilton@CVSHealth.com&gt;
Golub, Ilya &lt;Ilya.Golub2@CVSHealth.com&gt; 
Royo, Candy - Concentrix &lt;Candy.royo@concentrix.com&gt;
sumit.bhakri1@concentrix.com; 
mariacitadel.santos@concentrix.com
layla.breedy@concentrix.com; 
nolly.tuazon@concentrix.com; 
victoria.aldovino@concentrix.com; 
Leilani Evangelista &lt;leilani.evangelista@concentrix.com&gt;;
josh.dykstra@concentrix.com 
Jan Daniel Lingad &lt;jan.lingad@concentrix.com&gt;;  
Louise Keevy &lt;louise.keevy@concentrix.com&gt;;
hermie.roque@concentrix.com; 
Michael J Harrell &lt;michael.harrell@concentrix.com&gt; 
Capozzo, Daniel &lt;CapozzoD@cvshealth.com&gt;; 
Napolin, Steven &lt;Steven.Napolin@CVSHealth.com&gt;; 
Westgaard, Erik C &lt;WestgaardE@cvshealth.com&gt;; 
Fioravanti, Craig J &lt;FioravantiC@cvshealth.com&gt;; 
Aaron Kite &lt;aaron.kite@concentrix.com&gt;4403347515</t>
  </si>
  <si>
    <t>5/4 Meeting with Concentrix &amp; CVS teams to discuss migration of Concentrix
5/7 Ray Hamilton (Partner) emailed to get requested info from his engineers
5/8 Catrina emailed to add Brian Hilton as a CVS POC and validated next steps</t>
  </si>
  <si>
    <t>Ray Hamilton&lt;ray.hamilton@
concentrix
.com&gt;
​Robert Pare &lt;robert.pare@concentrix.com&gt;;​Jason Spring &lt;jason.spring@concentrix.com&gt;​
Shantanu Bera - m 303-882-7480 / 203-349-0360 shantanu.bera@cognizant.com
Ray.hamilton@concentrix.com</t>
  </si>
  <si>
    <t>Client &amp; Vendor</t>
  </si>
  <si>
    <t>CONCENTRIX | MPLS | RI</t>
  </si>
  <si>
    <t>ATT_Durham</t>
  </si>
  <si>
    <t>12.116.74.138</t>
  </si>
  <si>
    <t>Sean King - Sean.King3@CVSHealth.com - 480-314-8224</t>
  </si>
  <si>
    <t>4/28 at 12:33pm - Reached out to Dan Capozzo as a pre-check before reaching out to the partner contacts</t>
  </si>
  <si>
    <t>4/28 at 1:51pm - Dan involved ATT folks to help answer
4/28 at 2:12pm - ATT contact does not see connection with CVS with these IP and CTK addresses
4/28 at 2:28pm - ATT contact does however see activity on both interfaces</t>
  </si>
  <si>
    <t>Sanin Cutahija - sanin.cutahija@intl.att.com
Richard Pitrone - rp6598@att.com
Mike Washburn - mw6494@att.com
ATT-CVS Service Managers - dl-att-cvsservicemanagers@att.com</t>
  </si>
  <si>
    <t>ATT_DURHAM | VPN | 12.116.74.138 | SHEA</t>
  </si>
  <si>
    <t>5/29: FW Ops team sees active traffic; reverting back to Active until clear decom instructions are provided
4/28: Marking as Decom for now as the VPN looks to not be related to CVS
Crypto ACL: Outside_cryptomap_240
Cipher: AES256-SHA256
PFS Group: group2
SA Lifetime: Default</t>
  </si>
  <si>
    <t>ATT_Mesa</t>
  </si>
  <si>
    <t>12.89.73.10</t>
  </si>
  <si>
    <t>Sean King - sean.king3@cvshealth.com - 480-314-8224</t>
  </si>
  <si>
    <t>ATT_MESA | VPN | 12.89.73.10 | SHEA</t>
  </si>
  <si>
    <t>5/29: FW Ops team sees active traffic; reverting back to Active until clear decom instructions are provided
4/28: Marking as Decom for now as the VPN looks to not be related to CVS
Crypto ACL: Outside_cryptomap_239
Cipher: AES256-SHA256
PFS Group: group2
SA Lifetime: Default</t>
  </si>
  <si>
    <t>CONCENTRIX | MPLS | SHEA</t>
  </si>
  <si>
    <t>Conduent</t>
  </si>
  <si>
    <t>138.69.31.170</t>
  </si>
  <si>
    <t>Steven Sterling, Steven.Sterling@CVSHealth.com
Catrina.Puckett@CVSHealth.com
Graham, Heather L. &lt;Heather.Graham@CVSHealth.com&gt;</t>
  </si>
  <si>
    <t>4/1 at 10:28am - initial email and app info request</t>
  </si>
  <si>
    <t>4/1 at 11:05am - Added John.Culbertson@CVSHealth.com, Jason.Fiore@CVSHealth.com, and Kaitlan.Engels@CVSHealth.com to assist with the inquiry.
4/1 at 11:37am - Vijay Kumar: "We do not have visibility into what may be running on the Conduent MPLS link for CVS. However, I agree that this setup predates Continuum (CGS). When we took over, we deployed our own MPLS links (AT&amp;T and Verizon) and migrated traffic away from CGS’s MPLS. Therefore, ideally, neither CGS nor Conduent MPLS should currently be in use for our lines of business (LOBs)."</t>
  </si>
  <si>
    <t>matthew.neis@conduent.com; 
Graham, Heather L. &lt;Heather.Graham@CVSHealth.com&gt;; 
Barbara.Sullivan@conduent.com; 
Glaspy, Jay &lt;jay.glaspy@conduent.com&gt;; 
Allred, Kyson &lt;kyson.allred@conduent.com&gt;; 
Belcher, Sean &lt;sean.belcher@conduent.com&gt;; 
Todd, Caitlyn &lt;caitlyn.todd@conduent.com&gt;</t>
  </si>
  <si>
    <t>CONDUENT | MPLS | 138.69.31.170 | RI</t>
  </si>
  <si>
    <t>5/6: Status confirmed by Kartheek Cheenepali as part of Firewall team migrations (scheduled for firewall migration not colo migration) - Migration to Firepower completed
Marked as Other because of the discrepancy between FW team and POC
Per POC: "We do not have visibility into what may be running on the Conduent MPLS link for CVS. However, I agree that this setup predates Continuum (CGS). When we took over, we deployed our own MPLS links (AT&amp;T and Verizon) and migrated traffic away from CGS’s MPLS. Therefore, ideally, neither CGS nor Conduent MPLS should currently be in use for our lines of business (LOBs)."</t>
  </si>
  <si>
    <t>Infosys</t>
  </si>
  <si>
    <t>122.98.118.5</t>
  </si>
  <si>
    <t>Joe Mariano - joseph.mariano@cvshealth.com _ 401-770-3365</t>
  </si>
  <si>
    <t>1/15 at 10:15am</t>
  </si>
  <si>
    <t>1/23 at 7:29am - The partner contact no longer needs the access to the connection</t>
  </si>
  <si>
    <t>ArunKumar Mahalingam - arunkumar_M11@infosys.com - +91 44 47425900
Mahesh Prabhu (Mahesh.Prabhu@CVSHealth.com) c: 484–948–6657</t>
  </si>
  <si>
    <t>INFOSYS | VPN | 122.98.118.5 | SHEA</t>
  </si>
  <si>
    <t>5/29: Reverting back to Active but POC no longer uses the connection and it should be decommissioned properly.
Crypto ACL: Outside_cryptomap_24
Cipher: ESP-AES-256-SHA
PFS Group: None
SA Lifetime: 1h</t>
  </si>
  <si>
    <t>instamed</t>
  </si>
  <si>
    <t>69.164.127.45</t>
  </si>
  <si>
    <t>Heather Garren - Heather.Garren@omnicare.com - 4017706309</t>
  </si>
  <si>
    <t>1/7 at 1:29pm</t>
  </si>
  <si>
    <t>1/8 at 7:48am - Heather said Omnicare does not send or receive anything to/from Instamed at this time.</t>
  </si>
  <si>
    <t>Todd Behrens -Todd.behrens@instamed.com - M: (610) 517-2910 - T: (215) 360-0818</t>
  </si>
  <si>
    <t>INSTAMED | VPN | 69.164.127.45 | SHEA</t>
  </si>
  <si>
    <t>5/29: Reverting back to Active as FW Ops team confirmed active traffic. Need to recheck with correct POCs to see if it needs to be decom'ed.
Crypto ACL: SEMA_INST_DR
Cipher: ESP-AES-256-SHA
PFS Group: None
SA Lifetime: Default</t>
  </si>
  <si>
    <t>mid-ds-l3-edmz-1 Gig2/0/16</t>
  </si>
  <si>
    <t xml:space="preserve">Change Healthcare/Emdeon/Medifax </t>
  </si>
  <si>
    <t>206.213.202.138</t>
  </si>
  <si>
    <t>Julie Hatchell- Julie.Hatchell@aetna.com Amy Neves - NevesAE@cvshealth.com;   BlackEB@aetna.com; RomanoS@cvshealth.com</t>
  </si>
  <si>
    <t>4/28 initial email sent
5/11 Eric sent follow up since no reply to original</t>
  </si>
  <si>
    <t>4/30 Thomas (retiring) gave updated contacts that may be able to validate this connection
5/11 Julie Hatchell replied that she reached out to the partner and they are gathering the data for us.  also confirmed Sharon is not the correct contact, Maryanne Bishop is
5/27 - Julie confirmed that the vendor, Optum, confirmed none of those circuits were restored after the Cyber incident in Feb 2024.</t>
  </si>
  <si>
    <t>SWebb@changehealthcare.com; Maryanne Bishop (need contact)</t>
  </si>
  <si>
    <t>N41</t>
  </si>
  <si>
    <t> CISCO 2800</t>
  </si>
  <si>
    <t> BCBJ9K8S0001/HCGS761121  DS115196823/HCGS761235</t>
  </si>
  <si>
    <t>CHANGE HEALTHCARE/EMDEON/MEDIFAX | MPLS | MID-DS-L3-EDMZ-1 GIG2/0/16 | 206.213.202.138 | MDC</t>
  </si>
  <si>
    <t>Marking as decom per POC. None of the circuits were restored after the Feb 2024 cyber incident.</t>
  </si>
  <si>
    <t xml:space="preserve">change-health-century  </t>
  </si>
  <si>
    <t>SHUT 1/08/2019 .-CHG01170170 CM0017929</t>
  </si>
  <si>
    <t xml:space="preserve">170.138.220.13 </t>
  </si>
  <si>
    <t>Shirley Plourde PlourdeS@aetna.com 860-945-9011</t>
  </si>
  <si>
    <t>Shawn Webb SWebb@changehealthcare.com Office:  615-9432-2896/Cell 615-892-0696</t>
  </si>
  <si>
    <t>FTP to CVTY Boris</t>
  </si>
  <si>
    <t>CHANGE-HEALTH-CENTURY | VPN | MID-FW-VPN1 | 170.138.220.13 | MDC</t>
  </si>
  <si>
    <t>4/22 confirm with BlackEB@aetna.com; GarberinaJrTJ@aetna.com if decom</t>
  </si>
  <si>
    <t xml:space="preserve">change-health-memphis  </t>
  </si>
  <si>
    <t>SHUT 1/08/2019CHG01170170 CM0017929</t>
  </si>
  <si>
    <t xml:space="preserve">170.138.39.72 </t>
  </si>
  <si>
    <t>Shawn Webb SWebb@changehealthcare.com;  commandcenter@changehealthcare.com ; LyJohnson@changehealthcare.com ; AArmstrong@changehealthcare.com; Tatkinson@changehealthcare.com</t>
  </si>
  <si>
    <t>CHANGE-HEALTH-MEMPHIS | VPN | MID-FW-VPN1 | 170.138.39.72 | MDC</t>
  </si>
  <si>
    <t>chenni-accenture-tw1</t>
  </si>
  <si>
    <t xml:space="preserve">170.251.93.8  170.251.93.9 </t>
  </si>
  <si>
    <t>CHENNI-ACCENTURE-TW1 | VPN | WIN-FW-VPN1 | 170.251.93.8 170.251.93.9 | WDC</t>
  </si>
  <si>
    <t>Quadax</t>
  </si>
  <si>
    <t>192.149.95.5</t>
  </si>
  <si>
    <t>paul Szeloag - ptszelag@cvshealth.com - 401-770-5201</t>
  </si>
  <si>
    <t>6/1 - Initial partner outreach</t>
  </si>
  <si>
    <t>Jing Dasal - jingdasal@quadax.com - 440-777-6304 X 2740</t>
  </si>
  <si>
    <t>QUADAX | VPN | 192.149.95.5 | SHEA</t>
  </si>
  <si>
    <t>5/29: Firewall Ops team confirmed there is active traffic going through the connection. Reverting back to Active and reach out to POC.
Group Policy: Quadax
Crypto ACL: CVS_Quadax
Cipher: ESP-AES-256-SHA
PFS Group: group5
SA Lifetime: Default
Partner Side ARIN: Quadax Inc.</t>
  </si>
  <si>
    <t>RKON</t>
  </si>
  <si>
    <t>40.143.88.148</t>
  </si>
  <si>
    <t xml:space="preserve"> IKEv2</t>
  </si>
  <si>
    <t>4/28 at 12:23pm - Initial reach out to partner contact</t>
  </si>
  <si>
    <t>4/28 at 12:25pm - RKON support: "The B2B VPN tunnel is no longer supported. RKON has no involvement with this tunnel at this time."</t>
  </si>
  <si>
    <t>support@rkon.com - 312.654.0300</t>
  </si>
  <si>
    <t>RKON | VPN | 40.143.88.148 | SHEA</t>
  </si>
  <si>
    <t>5/29: Reverting back to Active as FW Ops team indicated the connection has active traffic going through it. The POC indicated decommissioned so it needs to undergo proper decom process.
Crypto ACL: Outside_cryptomap_248
Cipher: AES256-SHA256
PFS Group: group2
SA Lifetime: Default</t>
  </si>
  <si>
    <t>State of Arizona</t>
  </si>
  <si>
    <t>Santo Anzaldi - santo.anzaldi@cvshealth.com</t>
  </si>
  <si>
    <t>1/13 at 11:24 AM</t>
  </si>
  <si>
    <t>1/13 at 11:28 AM - State of Arizona is no longer a current PBM client  so connection is no longer needed</t>
  </si>
  <si>
    <t>Chris Francis at AZAHCCCS mailto:Chris.Francis@azahcccs.gov</t>
  </si>
  <si>
    <t>STATE OF ARIZONA | VPN | 159.87.17.249 | SHEA</t>
  </si>
  <si>
    <t>5/29: FW ops indicated connection has active traffic; reverting status back to Active but needs to undergo decommissioning.
State of Arizona is no longer a PBM client, but double check to ensure no other business needs for this connection exists. Marking this entry as decommissioned.
Crypto ACL: Outside_cryptomap_138
Cipher: AES256-SHA256
PFS Group: None
SA Lifetime: 8h</t>
  </si>
  <si>
    <t>Tempus</t>
  </si>
  <si>
    <t>4.28.60.194</t>
  </si>
  <si>
    <t>Rameez Syed- rameez.syed@tempus.com - 224-330-7169
Joe Macak - joe.macak@tempus.com</t>
  </si>
  <si>
    <t>TEMPUS | VPN | 4.28.60.194 | SHEA</t>
  </si>
  <si>
    <t>5/29: FW Ops team indicated connection is active with traffic. Check with POC to confirm.
Group Policy: Tempus_On_Prem
Crypto ACL: CVS_Tempus_On_Prem
Cipher: AES256-SHA256
PFS Group: group14
SA Lifetime: Default
Partner Side ARIN: Level 3 Parent, LLC</t>
  </si>
  <si>
    <t>CONDUENT | MPLS | SHEA</t>
  </si>
  <si>
    <t>Continuum</t>
  </si>
  <si>
    <t>Roy Fairchildorlo.fairchild@cvshealth.com
Deatherage, Scott &lt;Scott.Deatherage@CVSHealth.com&gt; (incorrect POC)
Kevin.Sauceda@CVSHealth.com</t>
  </si>
  <si>
    <t>4/1 at 10:36am</t>
  </si>
  <si>
    <t>4/1 at 1:22pm - Scott is incorrect POC; looped in Kevin.Sauceda@CVSHealth.com
4/1 at 2:56pm - Kevin looped in Veronica.Andazola@CVSHealth.com, Scott.VanKooten@CVSHealth.com, and imran.pathan@weareeverise.com
4/2 at 9:27am - Imran confirmed that Everise owns the MPLS links (AT&amp;T and Verizon) and has migrated traffic away from CGS's MPLS. So neither CGS nor Conduent MPLS should be in use. Added Martin.Ryder@ContinuumGBL.com to help with info gathering like Peer IP.</t>
  </si>
  <si>
    <t>imran.pathan@weareeverise.com (Main Partner POC)
Jose Pouerie &lt;Jose.Pouerie@continuumgbl.com&gt;; 
Ernest Weaver &lt;Ernest.Weaver@continuumgbl.com&gt;; 
Darryl Milam &lt;Darryl.Milam@continuumgbl.com&gt;; 
Thomas Baker &lt;thomas.baker@continuumgbl.com&gt;; 
Rodolfo Sepulveda &lt;rodolfo.sepulveda@continuumgbl.com&gt;</t>
  </si>
  <si>
    <t>CONTINUUM | MPLS | RI</t>
  </si>
  <si>
    <t>From POC: "This is to inform you that Everise owns the MPLS links (AT&amp;T and Verizon) and has already migrated traffic away from CGS’s MPLS. Therefore, ideally, neither CGS nor Conduent MPLS should currently be in use for our lines of business (LOBs). Please refer to the attached email for your reference."
Marking as decommissioned based on the above.</t>
  </si>
  <si>
    <t>CONTINUUM | MPLS | SHEA</t>
  </si>
  <si>
    <t>Convey</t>
  </si>
  <si>
    <t>CONVEY | MPLS | RI</t>
  </si>
  <si>
    <t>6/3: Decom status confirmed with Andy Le's FW Inventory tracking sheet</t>
  </si>
  <si>
    <t>chenni-accenture-tw1-ipsec</t>
  </si>
  <si>
    <t>170.251.92.8</t>
  </si>
  <si>
    <t>CHENNI-ACCENTURE-TW1-IPSEC | VPN | MID-FW-VPN1 | 170.251.92.8 | MDC</t>
  </si>
  <si>
    <t>ConveyNations</t>
  </si>
  <si>
    <t>Communication ongoing with vendors</t>
  </si>
  <si>
    <t>CONVEYNATIONS | MPLS | SHEA</t>
  </si>
  <si>
    <t>6/3: Decom status confirmed with Andy Le's FW Inventory tracking sheet
5/6: Status confirmed by Kartheek Cheenepali as part of Firewall team migrations (scheduled for firewall migration not colo migration) - Migration to Firepower completed</t>
  </si>
  <si>
    <t>acs-raleigh</t>
  </si>
  <si>
    <t>12.131.122.20</t>
  </si>
  <si>
    <t>Lynrick Pleasant
lynrick.pleasant@cvshealth.com</t>
  </si>
  <si>
    <t>12/18 4:35pm
2/6 at 2:23pm
4/6 at 4:00pm - Parsia provided answers to questions</t>
  </si>
  <si>
    <t>4/1 at 3:04pm - Asked clarifying questions</t>
  </si>
  <si>
    <t>ACS-RALEIGH | VPN | 12.131.122.20 | SHEA</t>
  </si>
  <si>
    <t>Crypto ACL: Outside_cryptomap_56
Cipher: ESP-AES-256-SHA
PFS Group: None
SA Lifetime: 1h</t>
  </si>
  <si>
    <t>acs-sandy</t>
  </si>
  <si>
    <t>208.31.35.82</t>
  </si>
  <si>
    <t xml:space="preserve">Bryan Shnieder - </t>
  </si>
  <si>
    <t>ACS-SANDY | VPN | 208.31.35.82 | SHEA</t>
  </si>
  <si>
    <t>Crypto ACL: Outside_cryptomap_60
Cipher: ESP-AES-256-SHA
PFS Group: None
SA Lifetime: 1h</t>
  </si>
  <si>
    <t>AEGON</t>
  </si>
  <si>
    <t>198.39.200.20</t>
  </si>
  <si>
    <t>Joseph Trahan
joseph.trahan@cvshealth.com</t>
  </si>
  <si>
    <t>12/19 at 11:14am
2/6 at 1:50pm
4/6 at 11:41am - Parsia replied back answering questions
5/4 at 11:33am - Follow up</t>
  </si>
  <si>
    <t>4/6 at 11:31am - Asked clarifying questions</t>
  </si>
  <si>
    <t>AEGON | VPN | 198.39.200.20 | SHEA</t>
  </si>
  <si>
    <t>Crypto ACL: Outside_cryptomap_12
Cipher: ESP-AES-256-SHA
PFS Group: None
SA Lifetime: 1h</t>
  </si>
  <si>
    <t>chenni-accenture-tw2-ipsec</t>
  </si>
  <si>
    <t>170.251.92.10</t>
  </si>
  <si>
    <t>CHENNI-ACCENTURE-TW2-IPSEC | VPN | MID-FW-VPN1 | 170.251.92.10 | MDC</t>
  </si>
  <si>
    <t>Citibank</t>
  </si>
  <si>
    <t>199.67.131.225</t>
  </si>
  <si>
    <t xml:space="preserve">Allocca, Craig A </t>
  </si>
  <si>
    <t>6/1 - Initial CVS contact outreach</t>
  </si>
  <si>
    <t xml:space="preserve">6/1 at 2:07pm - Craig looped in Boris.SanchezdeLozada@CVSHealth.com and the treasury team to assist
6/1 at 2:38pm - Boris replied the connection setup is not related to Treasury and he's not familiar. Asking the bank governance team and kxsrinivasan@cvshealth.com from IT to help.
6/1 at 2:45pm - Craig acknowledged and will reach out to Citi directly
</t>
  </si>
  <si>
    <t xml:space="preserve">gnc.level.1.managers@imcnam.ssmb.com/christopher.hogan@citi.com 
</t>
  </si>
  <si>
    <t>CITIBANK | VPN | MID-FW-VPN2 | 199.67.131.225 | MDC</t>
  </si>
  <si>
    <t>Concentrix_PHL</t>
  </si>
  <si>
    <t>206.126.186.18</t>
  </si>
  <si>
    <t>204.99.19.23(OLD ASA) - Tunnel is active</t>
  </si>
  <si>
    <t>Jason J Fiore - jason.fiore@cvshealth.com</t>
  </si>
  <si>
    <t>1/16 at 11:06am
3/6 at 12:04pm - follow up and app info request
4/29 at 2:53pm - Initial partner contact outreach</t>
  </si>
  <si>
    <t>1/16 at 11:27am - He is the Vendor Manager for Concentrix not a technical resource. Asks if he should connect us toto the Concentrix technical person. Responded to him on 1/16 at 1:34pm.
1/16 at 2:24pm - Added Ray Hamilton - ray.hamilton@concentrix.com to help answer questions
5/4 Meeting with Concentrix &amp; CVS teams to discuss migration of Concentrix
5/7 Ray Hamilton (Partner) emailed to get requested info from his engineers
5/8 Catrina emailed to add Brian Hilton as a CVS POC and validated next steps</t>
  </si>
  <si>
    <t>Ray Hamilton&lt;ray.hamilton@
concentrix
.com&gt;
​Robert Pare &lt;robert.pare@concentrix.com&gt;;​Jason Spring &lt;jason.spring@concentrix.com&gt;​
nicole.kueker@concentrix.com</t>
  </si>
  <si>
    <t>CONCENTRIX_PHL | VPN | 206.126.186.18 | PDX</t>
  </si>
  <si>
    <t>Crypto ACL: Concentrix_PHL
Cipher: AES256-SHA256
PFS Group: group14
SA Lifetime: Default</t>
  </si>
  <si>
    <t>Asembia</t>
  </si>
  <si>
    <t>20.12.178.27</t>
  </si>
  <si>
    <t>12/18 4:44pm
2/6 at 2:15pm
3/5 at 2:20pm - follow up and app info request
4/7 at 12:14pm - second follow up and app info request
4/29 at 10:00am - Sent another follow up but with more detailed info</t>
  </si>
  <si>
    <t>Jose Blanco &lt;Jose.Blanco@asembia.com&gt;</t>
  </si>
  <si>
    <t>ASEMBIA | VPN | 20.12.178.27 | SHEA</t>
  </si>
  <si>
    <t>Chinmoy Chatterjee is going to check with clients and respond back.
Crypto ACL: Asembia_DR_Crypto
Cipher: AES256-SHA256
PFS Group: None
SA Lifetime: Default</t>
  </si>
  <si>
    <t>23.92.177.172</t>
  </si>
  <si>
    <t>ASEMBIA | VPN | 65.17.224.28 | SHEA</t>
  </si>
  <si>
    <t>Chinmoy Chatterjee is going to check with clients and respond back.
Crypto ACL: Asembia_Crypto
Cipher: AES256-SHA256
PFS Group: group14
SA Lifetime: 1h</t>
  </si>
  <si>
    <t>Athenanet</t>
  </si>
  <si>
    <t>208.78.142.246</t>
  </si>
  <si>
    <t>Marcia Drummond
Doreen Stables - IT account liaison</t>
  </si>
  <si>
    <t>12/18 4:16pm
2/5 at 4:49pm
4/1 at 2:55pm - Reached back out with additional info and app request
5/12 - Eric Lang reached out asking for current state information
6/8 - Eric reached out to firewall team to confirm if any activity was present on tunnels</t>
  </si>
  <si>
    <t>2/6 at 11:02am - Asked clarifying questions
4/1 at 2:55pm - Reached back out with additional info and app request
4/1 at 4:09pm - Doreen found accounts under CareFirst BCBS for both Solutron and Athena. Asked Marcia who would be 
4/1 at 5:00pm - Marcia suggested reaching out to Larry Singer
5/12 - Doreen reached back asking for clarification on the state of the connections
5/12 - Doreen asked for activity in the past 6-12 months
6/9 - Firewall team confirmed no activity in the tunnels.  Marked as Decom</t>
  </si>
  <si>
    <t>Craig Surette - csurette@athenahealth.com - 617-402-1250</t>
  </si>
  <si>
    <t>ATHENANET | VPN | 208.78.142.246 | SHEA</t>
  </si>
  <si>
    <t>BCBSAZ</t>
  </si>
  <si>
    <t>204.153.155.143</t>
  </si>
  <si>
    <t>12.46.119.234,204.99.19.73</t>
  </si>
  <si>
    <t>Delmerico, Beth &lt;Mary.Delmerico@CVSHealth.com&gt;
Fowler, Shanna
CDH Prod Support</t>
  </si>
  <si>
    <t>: Drew.Irizarry@azblue.com</t>
  </si>
  <si>
    <t>BCBSAZ | VPN | 204.153.155.143 | SHEA</t>
  </si>
  <si>
    <t>BlueYonder</t>
  </si>
  <si>
    <t>63.160.92.100</t>
  </si>
  <si>
    <t>Mohammed Aijaz Yousuf - mohammedaijaz.yousuf@cvshealth.com - 512-363-7556
Paul DePerry - paul.deperry@cvscaremark.com - 401-770-6282
Ganesh Vankar - Ganesh.VankarLakshmidoss@CVSHealth.com
Sandeep Sirsgi - Sandeep.Sirsgi@CVSHealth.com
Mani Nagarajan - Nagarajan.Mani@CVSHealth.com</t>
  </si>
  <si>
    <t>1/13 at 3:15 PM
2/10 at 10:36am
3/5 at 2:33pm - follow up and app info request</t>
  </si>
  <si>
    <t>2/10 at 10:57am - Added Sandeep.Sirsgi@CVSHealth.com and Elie.Lalo@CVSHealth.com to provide more info
2/11 at 9:14pm - Added Nagarajan.Mani@CVSHealth.com and Ganesh.VankarLakshmidoss@CVSHealth.com to check for more info
3/5 at 6:50pm - Asked clarifying questions. Suggested a meeting be set up to discuss</t>
  </si>
  <si>
    <t>Rajeev Prasad - Rajeev.Prasad@blueyonder.com
Venkat Ramanan - Venkat.Ramanan@blueyonder.com
Bernie Wong  - Bernie.Wong@blueyonder.com</t>
  </si>
  <si>
    <t>BLUEYONDER | VPN | 63.160.92.100 | SHEA</t>
  </si>
  <si>
    <t>Group Policy: BlueYonder2_grp_policy
Crypto ACL: outside_cryptomap_24
Cipher: AES256-SHA256
PFS Group: group14
SA Lifetime: Default
Partner Side ARIN: Blue Yonder, Inc</t>
  </si>
  <si>
    <t>cognizant</t>
  </si>
  <si>
    <t>116.66.144.17</t>
  </si>
  <si>
    <t>Kranthi Sanka - kranthi.sanka@cvshealth.com - 785-501-4328 (not the correct POC)</t>
  </si>
  <si>
    <t>12/19 at 11:53am
2/5 at 5:01pm
4/29 at 2:12pm - Initial partner contact outreach</t>
  </si>
  <si>
    <t>4/6 at 2:49pm - Kranthi is not the correct POC. Provided the correct Partner contact
4/29 at 2:29pm - Acknowledged email and will work on request</t>
  </si>
  <si>
    <t xml:space="preserve">Jas Janarthanan, Jas@Cognizant.com, 848-247-3592
</t>
  </si>
  <si>
    <t>VDI workspaces through secure tunnels via the gateways listed below:
• secureapps.cvshealth.com — 152.145.93.254
• secureapps.caremark.com — 198.187.93.74
• apps.cvshealth.com — 152.145.4.252
• apps.caremark.com — 204.99.39.22
(NON-FACET)</t>
  </si>
  <si>
    <t>COGNIZANT | VPN | 116.66.144.17 | SHEA</t>
  </si>
  <si>
    <t>Crypto ACL: cognizant-nets
Cipher: ESP-AES-256-SHA
PFS Group: group2
SA Lifetime: 1d</t>
  </si>
  <si>
    <t>8.10.149.11</t>
  </si>
  <si>
    <t>Aimee Edwards - aimee.edwards@cvshealth.com</t>
  </si>
  <si>
    <t>12/19 at 11:41am
2/10 at 3:20pm
2/10 at 4:20pm - Parsia replied confirming Cognizant is the client in this case and provided IPs
3/6 at 12:17pm - follow up and app info request
4/29 at 1:48pm - Initial partner contact outreach</t>
  </si>
  <si>
    <t>2/10 at 3:44pm - Replied back stating she's not sure she's the right contact and whether Cognizant is a client
3/6 at 12:26pm - Added William Bates - John.Bates2@CVSHealth.com to assist
4/29 at 2:02pm - Added additional individuals</t>
  </si>
  <si>
    <t>Shantanu Bera - m 303-882-7480 / 203-349-0360 shantanu.bera@cognizant.com</t>
  </si>
  <si>
    <t>COGNIZANT | VPN | 8.10.149.11 | SHEA</t>
  </si>
  <si>
    <t>8.44.139.11</t>
  </si>
  <si>
    <t>2/10 at 3:44pm - Replied back stating she's not sure she's the right contact and whether Cognizant is a client
3/6 at 12:26pm - Added William Bates - John.Bates2@CVSHealth.com to assist
4/29 at 2:02pm - Added additional individuals
4/29 at 2:02pm - Added additional individuals</t>
  </si>
  <si>
    <t>Shantanu Bera - m 303-882-7480 / 203-349-0360: shantanu.bera@cognizant.com</t>
  </si>
  <si>
    <t>COGNIZANT | VPN | 8.44.139.11 | SHEA</t>
  </si>
  <si>
    <t>cognizant-tampa</t>
  </si>
  <si>
    <t>4.34.130.195</t>
  </si>
  <si>
    <t>no vpn tunnel found</t>
  </si>
  <si>
    <t>2/10 at 3:44pm - Replied back stating she's not sure she's the right contact and whether Cognizant is a client
3/6 at 12:26pm - Added William Bates - John.Bates2@CVSHealth.com to assist</t>
  </si>
  <si>
    <t>Shantanu Bera - m 303-882-7480 / 203-349-0360</t>
  </si>
  <si>
    <t>COGNIZANT-TAMPA | VPN | 4.34.130.195 | SHEA</t>
  </si>
  <si>
    <t>ibm-bwa</t>
  </si>
  <si>
    <t>204.251.204.162</t>
  </si>
  <si>
    <t>Michael Pasquaretta - PasquarettaMJ@cvshealth.com</t>
  </si>
  <si>
    <t>1/28 at 3:02pm
6/1 - Email sent to Janine</t>
  </si>
  <si>
    <t>1/29 at 10:01am - Michael Pasquaretta is not the correct contact. He did correct the IBM contact to be Janine Sneed.</t>
  </si>
  <si>
    <t>Jen.viens@ibm.com
Janine Sneed - janinesneed@us.ibm.com</t>
  </si>
  <si>
    <t>IBM-BWA | VPN | 204.251.204.162 | PDX</t>
  </si>
  <si>
    <t>Crypto ACL: Outside_cryptomap_47
Cipher: ESP-AES-256-SHA
PFS Group: None
SA Lifetime: 1h</t>
  </si>
  <si>
    <t>ibm-bwa-smyrna</t>
  </si>
  <si>
    <t>12.177.82.110</t>
  </si>
  <si>
    <t>IBM-BWA-SMYRNA | VPN | 12.177.82.110 | PDX</t>
  </si>
  <si>
    <t>Crypto ACL: Outside_cryptomap_90
Cipher: ESP-AES-256-SHa
PFS Group: None
SA Lifetime: 1h</t>
  </si>
  <si>
    <t>knapp</t>
  </si>
  <si>
    <t>89.207.120.89</t>
  </si>
  <si>
    <t>Michael Knueven - michael.knueven@cvshealth.com (incorrect)
Jim Kelly - James.Kelly@CVSHealth.com (new POC)</t>
  </si>
  <si>
    <t>4/7 at 2:19pm - "I'm not sure what this is for?"
5/4 at 11:46am - Reached out to Jim Kelly, new POC</t>
  </si>
  <si>
    <t>4/10 at 12:28pm - Parsia replied back with clarifications
5/4 at 11:57am - Jim added Rory.Howarth@CVSHealth.com and Jason.Koteski@CVSHealth.com to assist</t>
  </si>
  <si>
    <t>KNAPP AG Guenter-Knapp-Str. 5–7 8075 Hart bei Graz, Austria Phone: +43 5 04952 5066 Mobile: +43 676 8979 5066 Fax: +43 5 0495299 5066 hannes.woelfler@knapp.com</t>
  </si>
  <si>
    <t>KNAPP | VPN | 89.207.120.89 | PDX</t>
  </si>
  <si>
    <t>Crypto ACL: Outside_cryptomap_69
Cipher: ESP-AES-256-SHA
PFS Group: None
SA Lifeitme: 1h</t>
  </si>
  <si>
    <t>connextions-charlotte</t>
  </si>
  <si>
    <t>50.58.81.4</t>
  </si>
  <si>
    <t>Jeremy Morse - jeremy.morse@cvshealth.com - not the correct contact
Ben Selagea</t>
  </si>
  <si>
    <t>1/7 at 9:56am
1/7 at 11:01am reached out to Ben
3/5 at 4:22pm - follow up and app info request</t>
  </si>
  <si>
    <t>1/7 at 10:39am - suggested reaching out to Ben Selagea</t>
  </si>
  <si>
    <t>MARC.ASHTON@CONNEXTIONS.COM</t>
  </si>
  <si>
    <t>CONNEXTIONS-CHARLOTTE | VPN | 50.58.81.4 | SHEA</t>
  </si>
  <si>
    <t>Crypto ACL: Outside_cryptomap_54
Cipher: ESP-AES-256-SHA
PFS Group: None
SA Lifetime: 1h</t>
  </si>
  <si>
    <t>connextions-concord</t>
  </si>
  <si>
    <t>166.82.46.100</t>
  </si>
  <si>
    <t>CONNEXTIONS-CONCORD | VPN | 166.82.46.100 | SHEA</t>
  </si>
  <si>
    <t>Crypto ACL: Outside_cryptomap_76
Cipher: ESP-AES-256-SHA
PFS Group: None
SA Lifetime: 1h</t>
  </si>
  <si>
    <t>medhok</t>
  </si>
  <si>
    <t>69.71.58.140</t>
  </si>
  <si>
    <t>Keith Hessefort - Keith.Hessefort@CVSHealth.com
Satya Devisetty - Satya.Devisetty@CVSHealth.com</t>
  </si>
  <si>
    <t>1/30 at 9:36am
3/30 at 11:22am - Parsia replied back providing additional info and new connections</t>
  </si>
  <si>
    <t>1/30 at 10:01am - Ankit moved to another team. Satya Devisetty and Keith Hessefort are the new contacts.
3/31 at 10:03am - Keith asked Ken to check with MHK for the VPN list</t>
  </si>
  <si>
    <t>David Simko - 813-304-2800
Jeffrey Alway  -  jeffrey.alway@mhk.com - Simko, David - dsimko@mhk.com</t>
  </si>
  <si>
    <t>MEDHOK | VPN | 69.71.58.140 | PDX</t>
  </si>
  <si>
    <t>Group Policy: medhok-scottsdale
Crypto ACL: Outside_crytpomap_58
Cipher: ESP-AES-256-SHA
PFS Group: None
SA Lifetime: 1h</t>
  </si>
  <si>
    <t>connextions-orlando</t>
  </si>
  <si>
    <t>65.213.152.2</t>
  </si>
  <si>
    <t>Jeremy Morse - jeremy.morse@cvshealth.com - not the correct contact
Ben Selagea
Tory Bell?</t>
  </si>
  <si>
    <t>CONNEXTIONS-ORLANDO | VPN | 65.213.152.2 | SHEA</t>
  </si>
  <si>
    <t>Crypto ACL: Outside_cryptomap_75
Cipher: ESP-AES-256-SHA
PFS Group: None
SA Lifetime: 1h</t>
  </si>
  <si>
    <t>MedHok_AWS_DR</t>
  </si>
  <si>
    <t>44.228.120.168</t>
  </si>
  <si>
    <t>David Simko 813 304 2800</t>
  </si>
  <si>
    <t>MEDHOK_AWS_DR | VPN | 44.228.120.168 | PDX</t>
  </si>
  <si>
    <t>Group Policy: MedHOK_AWS_DR
Crypto ACL: CVS_MedHOK_AWS_DR
Cipher: ESP-AES-128-SHA
PFS Group: group2
SA Lifetime: 1h</t>
  </si>
  <si>
    <t>medhok-amazon</t>
  </si>
  <si>
    <t>3.213.166.204</t>
  </si>
  <si>
    <t>1/30 at 9:36am</t>
  </si>
  <si>
    <t>1/30 at 10:01am - Ankit moved to another team. Satya Devisetty and Keith Hessefort are the new contacts.
3/30 at 11:22am - Parsia replied back providing additional info and new connections</t>
  </si>
  <si>
    <t>David Simko  -  p 888.963.3465 ext.1006  -  941.268.7422</t>
  </si>
  <si>
    <t>MEDHOK-AMAZON | VPN | 3.213.166.204 | PDX</t>
  </si>
  <si>
    <t>Crypto ACL: Outside_cryptomap_102
Cipher: ESP-AES-128-SHA
PFS Group: group2
SA Lifetime: 1h</t>
  </si>
  <si>
    <t>emdeon</t>
  </si>
  <si>
    <t>EMDEON | MPLS | SHEA</t>
  </si>
  <si>
    <t>ERS</t>
  </si>
  <si>
    <t>192.149.125.5</t>
  </si>
  <si>
    <t>Michael Knueven - michael.knueven@cvshealth.com</t>
  </si>
  <si>
    <t>James Duque - james.duque@ers.texas.gov - 512-867-7437 (not valid)
Steven Kinney - steven.kinney@ers.state.tx.us - 512-867-7207/512-784-2534 (not valid)</t>
  </si>
  <si>
    <t>ERS | VPN | 192.149.125.5 | SHEA</t>
  </si>
  <si>
    <t>Employee Retirement System
Crypto ACL: Outside_cryptomap_25
Cipher: AES256-SHA256, Cognizant-Transform
PFS Group: group14
SA Lifetime: Default</t>
  </si>
  <si>
    <t>healthfirst</t>
  </si>
  <si>
    <t>12.41.123.51</t>
  </si>
  <si>
    <t>John Layton - john.layton@cvshealth.com
Allison Boley - allison.boley@cvshealth.com</t>
  </si>
  <si>
    <t>1/13 at 11:14 AM
3/10 at 11:09am - sent follow up
4/29 at 10:25am - Initial partner contact outreach (emails bounced back)
4/29 at 10:29am - followed up with the original CVS contacts</t>
  </si>
  <si>
    <t>1/13 at 11:34 AM - Looped in teammate Allison Boley, requests additional info like IPs. Responded to him with additional info.</t>
  </si>
  <si>
    <t>steven Austin - saustin@healthfirst.org (email not valid)
Tsui Wing - wtsui@healthfirst.org (email not valid)</t>
  </si>
  <si>
    <t>HEALTHFIRST | VPN | 12.41.123.51 | SHEA</t>
  </si>
  <si>
    <t>Crypto ACL: Outside_cryptomap_106
Cipher: Cognizant-Transform, AES256
PFS Group: group20
SA Lifetime: 1h</t>
  </si>
  <si>
    <t>184.106.123.13</t>
  </si>
  <si>
    <t>David Simko - 813-304-2800
Jeffrey Alway  -  jeffrey.alway@mhk.com - Simko, David - dsimko@mhk.com - 888.963.3465, ext. 1006</t>
  </si>
  <si>
    <t>MEDHOK | VPN | 184.106.123.13 | SHEA</t>
  </si>
  <si>
    <t>Oracle</t>
  </si>
  <si>
    <t>160.34.15.221</t>
  </si>
  <si>
    <t>204.99.19.23 (OLD ASA Device),204.99.19.73(Migrated Config to new FTD device),121.46.119.234</t>
  </si>
  <si>
    <t>Nancy G Saraceno - GorczycaN1@cvshealth.com</t>
  </si>
  <si>
    <t>1/13 at 2:30 PM
2/10 at 11:04am
5/4 at 11:40am - Initial partner contact outreach (email not delievered)</t>
  </si>
  <si>
    <t>2/10 at 11:03am - Replied back asking what connection we are referring to specifically
2/10 at 11:20am - Parsia replied providing additional information including partner peer IP
2/10 at 1:54pm - Replied back asking for concrete details to nail down the right connection</t>
  </si>
  <si>
    <t>SAM.CARLISLE@ORACLE.COM (email invalid)</t>
  </si>
  <si>
    <t>ORACLE | VPN | 160.34.15.221 | SHEA</t>
  </si>
  <si>
    <t>pennderm</t>
  </si>
  <si>
    <t>68.162.110.5</t>
  </si>
  <si>
    <t>204.99.19.23</t>
  </si>
  <si>
    <t>Lynrick Pleasant</t>
  </si>
  <si>
    <t>Cesar Aviles - T. 610-288-2908 - F. 610-898-4832</t>
  </si>
  <si>
    <t>PENNDERM | VPN | 68.162.110.5 | SHEA</t>
  </si>
  <si>
    <t>Crypto ACL: Outside_cryptomap_232
Cipher: ESP-AES-256-SHA
PFS Group: group5
SA Lifetime: Default</t>
  </si>
  <si>
    <t>Premier</t>
  </si>
  <si>
    <t>64.60.18.2</t>
  </si>
  <si>
    <t>204.99.19.23,12.46.119.234</t>
  </si>
  <si>
    <t>Leroy Pruitt - leroy.pruitt@cvshealth.com</t>
  </si>
  <si>
    <t>1/15 at 2:10pm</t>
  </si>
  <si>
    <t>1/16 at 9:48am - Asked clarifying questions</t>
  </si>
  <si>
    <t>PREMIER | VPN | 64.60.18.2 | SHEA</t>
  </si>
  <si>
    <t>Crypto ACL: Outside_crytpomap_226
Cipher: AES256-SHA256, Cognizant-Transform
PFS Group: None
SA Lifetime: Default</t>
  </si>
  <si>
    <t>principal</t>
  </si>
  <si>
    <t>206.195.196.8</t>
  </si>
  <si>
    <t>Joseph Trahan - joseph.trahan@cvshealth.com</t>
  </si>
  <si>
    <t>PRINCIPAL | VPN | 206.195.196.8 | SHEA</t>
  </si>
  <si>
    <t>Crypto ACL: Outside_cryptomap_73
Cipher: ESP-3DES-MD5
PFS Group: None
SA Lifetime: Default</t>
  </si>
  <si>
    <t>rms-parsippany</t>
  </si>
  <si>
    <t>66.246.173.34</t>
  </si>
  <si>
    <t>Mike Welliver - 719-423-4423</t>
  </si>
  <si>
    <t>RMS-PARSIPPANY | VPN | 199.127.148.10 | SHEA</t>
  </si>
  <si>
    <t>Marking as blocked due to no valid CVS or partner contacts
Crypto ACL: Outside_cryptomap_94
Cipher: ESP-AES-256-SHA
PFS Group: None
SA Lifetime: Default
Partner Side ARIN: Cologix, Inc</t>
  </si>
  <si>
    <t>199.127.148.10</t>
  </si>
  <si>
    <t>RMS-PARSIPPANY | VPN | 66.246.173.34 | SHEA</t>
  </si>
  <si>
    <t>Marking as blocked due to no valid CVS or partner contacts
Crypto ACL: Outside_cryptomap_93
Cipher: ESP-AES-256-SHA
PFS Group: None
SA Lifetime: Default
Partner Side ARIN: iQor US Inc.</t>
  </si>
  <si>
    <t>Solutran</t>
  </si>
  <si>
    <t>4.35.106.222</t>
  </si>
  <si>
    <t>12/18 4:16pm
2/5 at 4:49pm
4/1 at 2:55pm - Reached back out with additional info and app request
4/29 at 10:58am - Initial partner contact outreach
5/12 - Eric Lang reached out asking for current state information
6/8 - Eric reached out to firewall team to confirm if any activity was present on tunnels</t>
  </si>
  <si>
    <t>Cory Wahl - CWahl@solutran.com - 612-599-9017 
Melonie Jentges - mjentges@solutran.com  - 763-519-7206     
Laura Cede - lcedeno@solutran.com - 763-519-7240</t>
  </si>
  <si>
    <t>SOLUTRAN | VPN | 4.35.106.222 | SHEA</t>
  </si>
  <si>
    <t xml:space="preserve">Crypto ACL: Solutran_Nebraska
Cipher: AES256-SHA256
PFS Group: group14
SA Lifetime: 1h
Partner Side ARIN: Level 3 Parent, LLC </t>
  </si>
  <si>
    <t>TCS_KOCHI</t>
  </si>
  <si>
    <t>196.28.62.143</t>
  </si>
  <si>
    <t>Jed Knutson - jed.knutson@caremark.com - 612-240-5504
Ilango J - ilango.jothikarunakaran@cvshealth.com - 508-283-0563</t>
  </si>
  <si>
    <t>1/28 at 2:58pm
3/5 at 4:09pm - follow up and app info request
4/29 at 1:11pm - second follow up</t>
  </si>
  <si>
    <t>1/28 at 4:30pm - Looped in Rocky Oswal
1/29 at 12:31pm - Rocky Oswal looped in Ramesn Mn and Prajith Pradeep.</t>
  </si>
  <si>
    <t>ArunKumar Nachimuthu - arunkumar.nachimuthu@tcs.com - +91-484 6186433</t>
  </si>
  <si>
    <t>TCS_KOCHI | VPN | 196.28.62.143 | PDX</t>
  </si>
  <si>
    <t>Crypto ACL: mc21_tunnel
Cipher: ESP-AES-256-SHA
PFS Group: None
SA Lifetime: Default</t>
  </si>
  <si>
    <t>Solutran_Minnesota</t>
  </si>
  <si>
    <t>216.194.113.132</t>
  </si>
  <si>
    <t>Marcia Drummond, marica.drummond@cvshealth.com
Doreen Stables - IT account liaison</t>
  </si>
  <si>
    <t>Cory Wahl  - CWahl@solutran.com  -  612-599-9017 (M)</t>
  </si>
  <si>
    <t>SOLUTRAN_MINNESOTA | VPN | 216.194.113.132 | SHEA</t>
  </si>
  <si>
    <t>Crypto ACL: Solutran_Minnesota
Cipher: AES256-SHA256
PFS Group: group14
SA Lifetime: 1h
Partner Side ARIN: C7 Data Centers, Inc.</t>
  </si>
  <si>
    <t>14.141.183.28</t>
  </si>
  <si>
    <t>Jed Knutson - jed.knutson@cvshealth.com - 612-240-5504</t>
  </si>
  <si>
    <t>TCS_KOCHI | VPN | 14.141.183.28 | SHEA</t>
  </si>
  <si>
    <t>Crypto ACL: TCS_KOCHI_PALOALTO
Cipher: ESP-AES-256-SHA
PFS Group: None
SA Lifetime: Default</t>
  </si>
  <si>
    <t>TCS-Kochi</t>
  </si>
  <si>
    <t>14.141.182.169</t>
  </si>
  <si>
    <t>TCS-KOCHI | VPN | 14.141.182.169 | SHEA</t>
  </si>
  <si>
    <t>TechM</t>
  </si>
  <si>
    <t>201.149.10.162</t>
  </si>
  <si>
    <t>Beaulieu, Laurie L &lt;Laurie.Beaulieu@CVSHealth.com&gt;
Hariprasad.Balasubramanayam@CVSHealth.com
ln.srinivasan@techmahindra.com</t>
  </si>
  <si>
    <t>1/15 at 1:51pm
3/9 at 11:43am - follow up and app info request
4/29 at 10:49am - second follow up</t>
  </si>
  <si>
    <t>1/15 at 2:20pm - Added Hariprasad Balasubramanyam to assist with the inquiry
1/15 at 2:28pm - Added LN Srinivasan - ln.srinivasan@techmahindra.com to assist with the inquiry
3/9 at 11:48am - Added Sanjit.Sachan@CVSHealth.com to assist
4/29 at 12:22pm - Added Mouli and Sakthi to help</t>
  </si>
  <si>
    <t>LN.Srinivasan@TechMahindra.com; Sudha Nilakant &lt;Sudha.Nilakant@TechMahindra.com&gt;; Gnanasakthi Sabarathinam &lt;Gnanasakthi.Sabarathinam@TechMahindra.com&gt;</t>
  </si>
  <si>
    <t>TECHM | VPN | 201.149.10.162 | SHEA</t>
  </si>
  <si>
    <t>Group Policy: TechM_Mexico
Crypto ACL: CVS_TechM_Mexico
Cipher: AES256-SHA256
PFS Group: group14
SA Lifetime: Default
Partner Side ARIN: Megacable Comunicaciones de Mexico, S.A. de C.V.</t>
  </si>
  <si>
    <t>tritek</t>
  </si>
  <si>
    <t>184.80.140.146</t>
  </si>
  <si>
    <t>TRITEK | VPN | 184.80.140.146 | SHEA</t>
  </si>
  <si>
    <t>Marking as blocked for now due to no valid CVS or partner contact
Crypto ACL: Outside_cryptomap_96
Cipher: ESP-AES-256-SHA
PFS Group: None
SA Lifetime: 1h
Partner Side ARIN: Windstream Communications LLC</t>
  </si>
  <si>
    <t>TUFTS</t>
  </si>
  <si>
    <t>8.36.138.249</t>
  </si>
  <si>
    <t>Victor Ruberto - victor.ruberto@cvshealth.com
Susan Passow
John Layton (technical)</t>
  </si>
  <si>
    <t>1/15 at 1:48pm
2/9 at 1:27pm - Tori provided answers to Susan's questions
2/10 at 10:40am - Tori looped in Raag and Andy to help with real time traffic</t>
  </si>
  <si>
    <t>1/15 at 2:02pm - Added Heather Dennis - Heather.Dennis@CVSHealth.com to assist with the request
1/16 at 11:53am - Added Susan Passow - Susan.Passow@CVSHealth.com and Jaime Rensel - Jaime.Rensel@CVSHealth.com to handle this request
1/29 at 7:02pm - Susan asked for clarifying questions
2/9 at 11:45am - Susan followed up on the questions
2/9 at 1:36pm - Susan asked John Layton to follow up on the connections
2/9 at 2:16pm - John added Adarsh and Ajay to help with details
2/9 at 2:20pm - Adarsh confirmed it's not RxClaim and it's CDH
2/9 at 2:22pm - John says Tufts terminated as client years ago and asked more questions
2/9 at 2:23pm - Adarsh replied with answer on real time connections
2/9 at 2:47pm - Jeffrey added clarifying details
2/10 at 9:36am - John asked Tori/Parsia if they can see live traffic
2/17 at 1:57pm - Susan prompted a follow up
2/17 at 2:16pm - Raag provided live traffic and that there is nothing sent over connection
2/17 at 2:43pm - Susan to let Tufts know about no traffic being sent</t>
  </si>
  <si>
    <t>Rick Tonole:  VPN connections    Richard_Tonole@tufts-health.com
David Antonellis - david.antonelllis@tufts-health.com - 617-972-6838/617-799-9407</t>
  </si>
  <si>
    <t>TUFTS | VPN | 8.36.138.249 | SHEA</t>
  </si>
  <si>
    <t>Jeffrey Smith confirmed CVS has Tufts as a Batch Connection that goes through Secure Transport and does not use VPN.
John Layton and Ardash Nagar suggest this was used for Consumer Driven Health (accumulations)
Crypto ACL: TUFTS_ACL
Cipher: ESP-AES-256-SHA
PFS Group: None
SA Lifetime: Default
Partner Side ARIN: Tufts Associated Health Plans</t>
  </si>
  <si>
    <t>192.193.216.50</t>
  </si>
  <si>
    <t xml:space="preserve">gnc.level.1.managers@imcnam.ssmb.com/Delivery has failed to these recipients or groups:
gnc.level.1.managers@imcnam.ssmb.com/christopher.hogan@citi.com 
</t>
  </si>
  <si>
    <t>CITIBANK | VPN | WIN-FW-VPN2 | 192.193.216.50 | WDC</t>
  </si>
  <si>
    <t>Verizon-CVS</t>
  </si>
  <si>
    <t>03.Third contact attempt to Vendor/Client</t>
  </si>
  <si>
    <t>75.116.126.15</t>
  </si>
  <si>
    <t>Chiran Balasubramanian- Chiranjeev.Balasubramanian@CVSHealth.com-4017704668</t>
  </si>
  <si>
    <t>1/13 at 2:12 PM
2/9 at 3:18pm
4/6 at 11:45am - Parsia replied back answering questions</t>
  </si>
  <si>
    <t>4/6 at 11:35am - Asked clarifying questions</t>
  </si>
  <si>
    <t>ronald elliott - ronald.elliott@verizonwireless.com - 
deborah donahue - deborah.donahue@verizon.com - (856) 912- 0423 - (856)231-2814</t>
  </si>
  <si>
    <t>VERIZON-CVS | VPN | 75.116.126.15 | SHEA</t>
  </si>
  <si>
    <t>Crypto ACL: Outside_cryptomap_224
Cipher: ESP-AES-128-SHA, ESP-AES-128-MD5
PFS Group: None
SA Lifetime: Default</t>
  </si>
  <si>
    <t>EPCSVerizon</t>
  </si>
  <si>
    <t xml:space="preserve">ronald elliott - ronald.elliott@verizonwireless.com - </t>
  </si>
  <si>
    <t>EPCSVERIZON | MPLS | SHEA</t>
  </si>
  <si>
    <t>6/10: Confirmed decommissioned connection from Andy Le's FW Inventory tracker</t>
  </si>
  <si>
    <t>Cisco 8300s (CVS-SCO-WAN1 &amp; CVS-SCO-WAN2)</t>
  </si>
  <si>
    <t>Everise</t>
  </si>
  <si>
    <t>10.16.0.206-10.16.0.207</t>
  </si>
  <si>
    <t>Mark A Weiner - mark.weiner@cvshealth.com
Ricardo Gallegos - rick.gallegos@cvshealth.com</t>
  </si>
  <si>
    <t>4/1 at 9:36am - Original outreach intended for Continuum
4/13 at 9:51am - Parsia reached back out for additional details</t>
  </si>
  <si>
    <t xml:space="preserve">4/2 at 9:27am - Imran confirmed Continuum is no longer active and Everise now owns the MPLS link
4/13 at 10:23am - Vijay provided additional details about Everise
</t>
  </si>
  <si>
    <t>Vijay Kumar &lt;Vijay.Kumar@weareeverise.com&gt;
Imran.Pathan@weareeverise.com</t>
  </si>
  <si>
    <t>Apps run via Citrix and Five9/Verint goes via Public Internet (DIA)</t>
  </si>
  <si>
    <t>AT&amp;T (IZEC558514ATI), Verizon (C1256368)</t>
  </si>
  <si>
    <t>EVERISE | MPLS | CISCO 8300S (CVS-SCO-WAN1 &amp; CVS-SCO-WAN2) | 10.16.0.206-10.16.0.207 | SHEA</t>
  </si>
  <si>
    <t>Note: Soon they will be replacing the Verizon MPLS link with Lumen MPLS at both DCs
Router SN: AT&amp;T (FLM284810CA), Verizon (FLM28441052)</t>
  </si>
  <si>
    <t>Cisco 8300s (CVS-WOO-WAN1 &amp; CVS-WOO-WAN2)</t>
  </si>
  <si>
    <t>10.16.0.208-10.16.0.209</t>
  </si>
  <si>
    <t>Christopher Bolton - christopher.bolton@cvshealth.com</t>
  </si>
  <si>
    <t>AT&amp;T (IZEC557389ATI), Verizon (C1262796)</t>
  </si>
  <si>
    <t>EVERISE | MPLS | CISCO 8300S (CVS-WOO-WAN1 &amp; CVS-WOO-WAN2) | 10.16.0.208-10.16.0.209 | RI</t>
  </si>
  <si>
    <t>Note: Soon they will be replacing the Verizon MPLS link with Lumen MPLS at both DCs
Router SN: AT&amp;T (FLM284810CD), Verizon (FLM284810C9)</t>
  </si>
  <si>
    <t>CityofNewYork</t>
  </si>
  <si>
    <t>161.185.130.146</t>
  </si>
  <si>
    <t>Gaetano Sabino - SabinoG@aetna.com (Not the correct POC)
Remekie, Dawn-Marie &lt;remekied@aetna.com&gt; /Patterson, Jennifer K &lt;PattersonJ@aetna.com&gt; (No longer POC)</t>
  </si>
  <si>
    <t>6/3 - Initial CVS email
6/3 at 12:39pm - Parsia replied back with clarifying answers
6/4 at 11:32am - Parsia replied back asking for contact information for Aetna connectivity.</t>
  </si>
  <si>
    <t>6/3 at 11:58am - Dawn no longer the contact. Added Sabino to help.
6/3 at 12:39pm - Sabino asked for clarifying information.
6/3 at 4:50pm - Sabino does not have info on the VPN. Suggested reaching out to the Connectivity area for Aetna.
6/4 at 5:10pm - Suggested reaching out to Daniel Infante</t>
  </si>
  <si>
    <t xml:space="preserve">reinbinder@doitt.nyc.gov </t>
  </si>
  <si>
    <t xml:space="preserve"> paces.aetna.com application </t>
  </si>
  <si>
    <t>CITYOFNEWYORK | VPN | MID-FW-VPN2 | 161.185.130.146 | MDC</t>
  </si>
  <si>
    <t>clarkconstruction</t>
  </si>
  <si>
    <t>63.237.69.254</t>
  </si>
  <si>
    <t xml:space="preserve">Pugh, Meghan A /Dwyer, Sharon P &lt;dwyers@aetna.com&gt; /Jill Kauffman </t>
  </si>
  <si>
    <t>tatiana.pressau@clarkconstruction.com</t>
  </si>
  <si>
    <t>CLARKCONSTRUCTION | VPN | MID-FW-VPN2 | 63.237.69.254 | MDC</t>
  </si>
  <si>
    <t>Fiserv</t>
  </si>
  <si>
    <t>Timothy Smerztimothy.smerz@cvshealth.com (Fiserv) - PM
Pelzek, David M. &lt;David.Pelzek@CVSHealth.com&gt; - Verizon account owner</t>
  </si>
  <si>
    <t>4/1 at 10:38am - initial email and app info request
4/6 at 4:39pm - Parsia provided clarifying answers
4/7 at 11:45am - App info request</t>
  </si>
  <si>
    <t>4/1 at 10:44am - Tim is confused as to what the request is
4/7 at 5:52am - Connection is active and in-use
4/7 at 11:47am - Added Pelzek, David M. &lt;David.Pelzek@CVSHealth.com&gt; who owns the Verizon account to help with request</t>
  </si>
  <si>
    <t>deborah donahue - deborah.donahue@verizon.com - (856) 912- 0423 - (856)231-2814, ALSO Try Kathryn</t>
  </si>
  <si>
    <t>FISERV | MPLS | RI</t>
  </si>
  <si>
    <t>Financial Services Technology (Mobile banking)
5/6: Status confirmed by Kartheek Cheenepali as part of Firewall team migrations (scheduled for firewall migration not colo migration) - Migration to Firepower completed</t>
  </si>
  <si>
    <t>FISERV | MPLS | SHEA</t>
  </si>
  <si>
    <t>Geneva</t>
  </si>
  <si>
    <t>Darren Nicholas(214) 808-6281</t>
  </si>
  <si>
    <t>4/1 at 10:43am - initial email and app info request</t>
  </si>
  <si>
    <t>4/1 at 10:53am - Not familiar with the client; asks for carrier number for Geneva</t>
  </si>
  <si>
    <t>GENEVA | MPLS | RI</t>
  </si>
  <si>
    <t>Genpact</t>
  </si>
  <si>
    <t>Kimberly Roddy469-207-0364 (no longer correct)
Britney Shumate - Britney.Levetan@CVSHealth.com (correct POC)</t>
  </si>
  <si>
    <t>4/1 at 10:40am - initial email and app info request</t>
  </si>
  <si>
    <t>4/1 at 10:48am - Kim no longer contact; added Britney Shumate
4/20 at 3:37pm - Britney reached out to Genpact and will update us on details</t>
  </si>
  <si>
    <t>kamal srivastava - kamal.srivastava@genpact.com - M:+91 9899687243, +91 9810094243</t>
  </si>
  <si>
    <t>GENPACT | MPLS | RI</t>
  </si>
  <si>
    <t>GENPACT | MPLS | SHEA</t>
  </si>
  <si>
    <t>ClearObject</t>
  </si>
  <si>
    <t>SHUT FM-4972 10/13/2020</t>
  </si>
  <si>
    <t>199.127.184.71</t>
  </si>
  <si>
    <t>support@clearobject.com</t>
  </si>
  <si>
    <t>CLEAROBJECT | VPN | MID-FW-VPN1 | 199.127.184.71 | MDC</t>
  </si>
  <si>
    <t>Grandview</t>
  </si>
  <si>
    <t>GRANDVIEW | MPLS | RI AND AZ</t>
  </si>
  <si>
    <t>clear-vision</t>
  </si>
  <si>
    <t xml:space="preserve">136.179.20.213  </t>
  </si>
  <si>
    <t>Matthias Cowley</t>
  </si>
  <si>
    <t>6/3 - Initial CVS email</t>
  </si>
  <si>
    <t>Cassie Winfrey 805-477-3961 cassie.winfrey@cviinfosys.com</t>
  </si>
  <si>
    <t xml:space="preserve">Outbound </t>
  </si>
  <si>
    <t>RDP access to Clear-Vision Servers</t>
  </si>
  <si>
    <t>CLEAR-VISION | VPN | MID-FW-VPN1 | 136.179.20.213 | MDC</t>
  </si>
  <si>
    <t>Heartland</t>
  </si>
  <si>
    <t>Marc Salinasmarc.salinas@cvshealth.com</t>
  </si>
  <si>
    <t>4/1 at 2:15pm - initial email and app info request</t>
  </si>
  <si>
    <t>4/1 at 2:59pm - Client is not the POCs; Never worked with Heartland</t>
  </si>
  <si>
    <t>HEARTLAND | MPLS | RI</t>
  </si>
  <si>
    <t>5/6: Status confirmed by Kartheek Cheenepali as part of Firewall team migrations (scheduled for firewall migration not colo migration) - Ongoing communication with vendors
6/3: Decom status confirmed with Andy Le's FW Inventory tracking sheet</t>
  </si>
  <si>
    <t>HEARTLAND | MPLS | SHEA</t>
  </si>
  <si>
    <t>JointVenture/RedOak</t>
  </si>
  <si>
    <t>Joint Venture(Red Oak) - Justin Madeiro  Justin.madeiro@redoaksourcing.com Direct 508.216.1053 | Mobile 508.570.1381; 
Sipi Krishna &amp;lt;sipi.krishna@centricconsulting.com&amp;gt;; 
Chrissie Landrigan &amp;lt;christine.landrigan@redoaksourcing.com&amp;gt;; 
Justin Brockway &amp;lt;justin.brockway@redoaksourcing.com&amp;gt;; 
Guy Joachim &amp;lt;guy.joachim@redoaksourcing.com&amp;gt;; 
EDI Infrastructure (PBM) &amp;lt;EDIInfrastructure@CVSHealth.com&amp;gt;</t>
  </si>
  <si>
    <t>4/30, Frans confirmed the EDI infra email has nothing to do with this connection.  Asked if John.Simon@CVSHealth.com had any more insights</t>
  </si>
  <si>
    <t>JOINTVENTURE/REDOAK | MPLS | RI</t>
  </si>
  <si>
    <t>JOINTVENTURE/REDOAK | MPLS | SHEA</t>
  </si>
  <si>
    <t>Mckesson</t>
  </si>
  <si>
    <t>Lisa Errett(412) 967-2382
Sethu Kumar Reddy - sethukumarreddy.karri@caremark.com - 847-847-8652</t>
  </si>
  <si>
    <t>3/16 at 12:39pm</t>
  </si>
  <si>
    <t>3/16 at 12:42pm - "McKesson termed the PBM relationship for 2026"</t>
  </si>
  <si>
    <t>Jenna Smith - Jenna.Smith@mckesson.com</t>
  </si>
  <si>
    <t>MCKESSON | MPLS | RI</t>
  </si>
  <si>
    <t>5/6: Status confirmed by Kartheek Cheenepali as part of Firewall team migrations (scheduled for firewall migration not colo migration) - Conversation ongoing with vendors, scheduled for decom</t>
  </si>
  <si>
    <t>att-vizgems</t>
  </si>
  <si>
    <t>12.129.4.150</t>
  </si>
  <si>
    <t xml:space="preserve">Kurtis Mcvay, Daniel Capozzo, </t>
  </si>
  <si>
    <t>1/30 at 11:38am</t>
  </si>
  <si>
    <t>2/9 at 9:31am - Dan heard back from ATT and confirmed this connection could be decommissioned.</t>
  </si>
  <si>
    <t>ATT-VIZGEMS | VPN | 12.129.4.150 | PDX</t>
  </si>
  <si>
    <t>Per Dan Capozzo and ATT, this connection has not been used in 9 months and can be decommissioned.
Crypto ACL: Outside_cryptomap_71
Cipher: ESP-3DES-SHA
PFS Group: None
SA Lifetime: Default</t>
  </si>
  <si>
    <t>accenture</t>
  </si>
  <si>
    <t>Down</t>
  </si>
  <si>
    <t>144.36.170.8</t>
  </si>
  <si>
    <t>TODD EFTHIMIOU  - todd.e.efthimiou@accenture.com - 415-537-4644
Raghavendra Nayak - raghavendra.j.nayak@accenture.com - Reyes, Johny Lou D. &lt;johny.lou.d.reyes@accenture.com&gt;</t>
  </si>
  <si>
    <t>ACCENTURE | VPN | 170.251.232.6 | SHEA</t>
  </si>
  <si>
    <t>Medcare</t>
  </si>
  <si>
    <t>MEDCARE | MPLS | RI</t>
  </si>
  <si>
    <t>5/6: Status confirmed by Kartheek Cheenepali as part of Firewall team migrations (scheduled for firewall migration not colo migration) - Commuication ongoing with vendors</t>
  </si>
  <si>
    <t>aetna</t>
  </si>
  <si>
    <t>AETNA | VPN | 206.213.209.41 | SHEA</t>
  </si>
  <si>
    <t>aetna-PAT-cmx</t>
  </si>
  <si>
    <t>AETNA-PAT-CMX | VPN | 206.213.251.29 | SHEA</t>
  </si>
  <si>
    <t>Cogito</t>
  </si>
  <si>
    <t>3.227.127.54,
34.204.157.244</t>
  </si>
  <si>
    <t>hemam@cogitocorp.com</t>
  </si>
  <si>
    <t>Cogito/Aetna SIP Devices</t>
  </si>
  <si>
    <t>COGITO | VPN | WIN-FW-VPN2 | 3.227.127.54,
34.204.157.244 | WDC</t>
  </si>
  <si>
    <t>Alight</t>
  </si>
  <si>
    <t>204.152.232.191</t>
  </si>
  <si>
    <t>Erin Ridge &amp; Candace Jodice</t>
  </si>
  <si>
    <t xml:space="preserve">
Stina Blixt &lt;stina.blixt@alight.com&gt;
Sandeeprajan S &lt;sandeeprajan.s@alight.com&gt;
Vicki Middleton &lt;vicki.middleton@alight.com&gt;
Salil Kulkarni &lt;salil.kulkarni@alight.com&gt;</t>
  </si>
  <si>
    <t>ALIGHT | VPN | 204.152.232.191 | SHEA</t>
  </si>
  <si>
    <t>apac</t>
  </si>
  <si>
    <t>142.192.8.250</t>
  </si>
  <si>
    <t>Frances McKissick
frances.mckissick@cvshealth.com (Ms.)</t>
  </si>
  <si>
    <t>12/19 at 10:53am</t>
  </si>
  <si>
    <t>12/30 at 5:34am - connection is not in use and not needed.</t>
  </si>
  <si>
    <t>MATT.MATTIE@ALORICA.COM</t>
  </si>
  <si>
    <t>APAC | VPN | 142.192.8.250 | SHEA</t>
  </si>
  <si>
    <t>Aprimo</t>
  </si>
  <si>
    <t>64.72.144.254</t>
  </si>
  <si>
    <t xml:space="preserve">Maureen Monaghan (relationship owner) - maureen.monaghan@cvshealth.com
Srihari B. Dasari - Srihari.Dasari@CVSHealth.com </t>
  </si>
  <si>
    <t>12/18 5:03pm - Srihari's email was undelivered?</t>
  </si>
  <si>
    <t>12/18 at 5:46pm - Raymond Pileckis looped in Morgan Gormley
12/19 at 8:50am - Morgan Gormley looped in Sue White
12/19 at 7:49pm - Sue White looped in Maureen Monaghan
1/5 at 3:40pm - Maureen asked for details on the connections and traffic information
1/6 at 12:11pm - Raag suggested these were decommissioned</t>
  </si>
  <si>
    <t>Steven Szaszy  217-717-2170 - no longer with Aprimo
Aprimo David Roberts - david.roberts@aprimo.com - +1 (317) 593 7094</t>
  </si>
  <si>
    <t>APRIMO | VPN | 64.72.144.254 | SHEA</t>
  </si>
  <si>
    <t>74.126.83.6</t>
  </si>
  <si>
    <t>Steve  Szaszy, Steven.Szaszy@aprimo.com , ( 217 - 717-2170</t>
  </si>
  <si>
    <t>APRIMO | VPN | 74.126.83.6 | SHEA</t>
  </si>
  <si>
    <t>commonwealth(Hewlett-Packward Enterprise/KY Medicaid)</t>
  </si>
  <si>
    <t>192.85.127.230</t>
  </si>
  <si>
    <t>Fariba Alim-Marvasti</t>
  </si>
  <si>
    <t xml:space="preserve">megan.satterwhite@hpe.com  KYXIXCycleMonitors@hpe.com/Peyton.Bowman@dxc.com 
ky_edi_helpdesk@hpe.com
</t>
  </si>
  <si>
    <t>ssh access to xstedgm3p.aetna.com xstedgw3p.aetna.com</t>
  </si>
  <si>
    <t>COMMONWEALTH(HEWLETT-PACKWARD ENTERPRISE/KY MEDICAID) | VPN | WIN-FW-VPN2 | 192.85.127.230 | WDC</t>
  </si>
  <si>
    <t>Aprimo2</t>
  </si>
  <si>
    <t>209.143.69.232</t>
  </si>
  <si>
    <t xml:space="preserve">Raymond Pileckis - Raymond.Pileckis@cvshealth.com - 847-484-9534 - no longer correct
Maureen Monaghan (relationship owner) - maureen.monaghan@cvshealth.com
Srihari B Dasari - srihari.dasari@cvshealth.com </t>
  </si>
  <si>
    <t>APRIMO2 | VPN | 209.143.69.232 | SHEA</t>
  </si>
  <si>
    <t>ARES</t>
  </si>
  <si>
    <t>69.193.68.218</t>
  </si>
  <si>
    <t>Shama Sadruddin - shama.sadruddin@cvshealth.com 
Kimber Haddox - kimberly.haddox@cvshealth.com - owner of group</t>
  </si>
  <si>
    <t>12/19 at 11:09am
3/5 at 2:15pm - sent follow up and request app info</t>
  </si>
  <si>
    <t>12/19 at 11:10am - Looped in Kimber Haddox
3/5 at 2:19pm - Kim Haddox confirmed the connection is no longer needed as Ares has termed</t>
  </si>
  <si>
    <t xml:space="preserve">Kyle Smith - KSmith@apothecarybydesign.com - 207- 899 - 0663 x3577 </t>
  </si>
  <si>
    <t>ARES | VPN | 69.193.68.218 | SHEA</t>
  </si>
  <si>
    <t xml:space="preserve">Group Policy: ARES
Crypto ACL: Outside_cryptomap_197
Cipher: ESP-AES-128-SHA, ESP-AES-128-MD5
PFS Group: None
SA Lifetime: Default
Partner Side ARIN: APOTHECARY BY DESIGN - PERX-U-UP </t>
  </si>
  <si>
    <t>65.17.224.28</t>
  </si>
  <si>
    <t>12/18 4:44pm
2/6 at 2:15pm
3/5 at 2:20pm - follow up and app info request
4/7 at 11:15am - second follow up and app info request
4/29 at 10:00am - Sent another follow up but with more detailed info</t>
  </si>
  <si>
    <t>ASEMBIA | VPN | 23.92.177.172 | SHEA</t>
  </si>
  <si>
    <t xml:space="preserve">Chinmoy Chatterjee is going to check with clients and respond back.
Marking this instance of Asembia as decommissioned. Only the other two in the list (23.92.177.172 and 20.12.178.27) are listed as active in the VPN export. </t>
  </si>
  <si>
    <t>Athena</t>
  </si>
  <si>
    <t>198.36.124.36</t>
  </si>
  <si>
    <t>4/21 at 3:09pm</t>
  </si>
  <si>
    <t>4/24 at 10:25am - Added Lea Goldstein to internally support the request
4/24 at 12:29pm - The IP address and connection is no longer active.</t>
  </si>
  <si>
    <t>KPROVOST@ATHENAHEALTH.COM
Francoise Jean-Louis &lt;fjeanlouis@athenahealth.com&gt;
Lea Goldstein - lgoldstein@athenahealth.com</t>
  </si>
  <si>
    <t>ATHENA | VPN | 198.36.124.36 | SHEA</t>
  </si>
  <si>
    <t>5/29: Confirmed to be decommissioned, but it may still contain active traffic for now
Group Policy: Athena
Crypto ACL: outside_cryptomap_18
Cipher: AES256-SHA256
PFS Group: group14
SA Lifetime: Default</t>
  </si>
  <si>
    <t>Atrion</t>
  </si>
  <si>
    <t>208.68.224.8</t>
  </si>
  <si>
    <t>ATRION | VPN | 208.68.224.8 | SHEA</t>
  </si>
  <si>
    <t>As of 5/6: Firewall ops confirmed no VPN tunnel exists for this connection; marking as decom
Crypto ACL: Outside_cryptomap_143
Cipher: ESP-AES-256-SHA
PFS Group: None
SA Lifetime: 1h</t>
  </si>
  <si>
    <t>ATT-SETA</t>
  </si>
  <si>
    <t>12.207.73.20</t>
  </si>
  <si>
    <t>ATT-SETA | VPN | 12.207.73.20 | SHEA</t>
  </si>
  <si>
    <t>Per Dan Capozzo and ATT, this connection has not been used in 9 months and can be decommissioned.</t>
  </si>
  <si>
    <t>Avaneer</t>
  </si>
  <si>
    <t>18.189.134.67</t>
  </si>
  <si>
    <t>Mark A Treshock &lt;mark.treshock@cvshealth.com&gt;; Morgan, Keith P &lt;Keith.Morgan@CVSHealth.com&gt;; Han, Xiaodan &lt;Xiaodan.Han@CVSHealth.com&gt;</t>
  </si>
  <si>
    <t>1/15 at 3:10pm</t>
  </si>
  <si>
    <t xml:space="preserve">1/15 at 6:00pm - The VPN connection is no longer needed
1/16 at 9:08am - Confirmed the connection is no longer needed
</t>
  </si>
  <si>
    <t>MARY.BUTLER-EVERSON@AVANEERHEALTH.COM</t>
  </si>
  <si>
    <t>AVANEER | VPN | 18.189.134.67 | SHEA</t>
  </si>
  <si>
    <t xml:space="preserve">5/29: Firewall Ops team confirmed there is traffic over the connection. Keeping as Decom but attention is needed to properly decommission the connection.
Group Policy: Avaneer
Crypto ACL: Avaneer
Cipher: AES256-SHA256
PFS Group: group14
SA Lifetime: Default
Partner Side ARIN: Amazon Technologies Inc. </t>
  </si>
  <si>
    <t>bcbs_argus</t>
  </si>
  <si>
    <t>63.87.219.14</t>
  </si>
  <si>
    <t>Cherie Wesling-Fromm - cherie.wesling-fromm@cvscaremark.com - p 972-619-8163 ?f 972-619-8030
Robert Exposito - RExposito@cvshealth.com - 860 514 4962</t>
  </si>
  <si>
    <t>Susan Franke - Susan.Franke@argushealth.com - O: 866-211-9459 F: 816.843.6415
David R Gerry -  drgerry@dstsystems.com - 816.843.5836
Rebecca MacGillvray - Rebecca.MacGillivray@blueshieldca.com - 714.428.4858</t>
  </si>
  <si>
    <t>BCBS_ARGUS | VPN | 63.87.219.14 | SHEA</t>
  </si>
  <si>
    <t>BCBSMA</t>
  </si>
  <si>
    <t>216.231.83.36</t>
  </si>
  <si>
    <t>Jessica Campos - Jessica.Campos@CVSHealth.com - 480-239-7568
Jessica.campos@oakstreethealth.com</t>
  </si>
  <si>
    <t>1/30 at 9:55am
2/11 at 3:01pm
4/28 at 3:49pm - Initial partner outreach</t>
  </si>
  <si>
    <t>4/29 at 7:39am - BCBSMA only has one active VPN with CVS.</t>
  </si>
  <si>
    <t>Manny Rodgers - manuel.rodgers@bcbsma.com - 617-246-4466</t>
  </si>
  <si>
    <t>BCBSMA | VPN | 216.118.182.170 | SHEA</t>
  </si>
  <si>
    <t>AKA BCBSMA</t>
  </si>
  <si>
    <t>216.118.190.70</t>
  </si>
  <si>
    <t>Edward Kim - edward.kim@cvshealth.com - 480-707-5674</t>
  </si>
  <si>
    <t>4/28 at 3:49pm - Initial partner outreach</t>
  </si>
  <si>
    <t>BCBSMA | VPN | 216.231.83.36 | SHEA</t>
  </si>
  <si>
    <t>Cognizant-Hyderabad</t>
  </si>
  <si>
    <t>203.99.209.250</t>
  </si>
  <si>
    <t>1/13 at 4:15 PM</t>
  </si>
  <si>
    <t>5/21 Partner confirmed connection was decommissioned in call
1/13 at 4:21pm - Jeffrey isn't sure if they are specific to IBM PBM or IBM as a vendor. Asked what's being shared through these connections
1/22 at 10:32am - Parsia replied back with clarifying questions and additional information.
4/27 at 11:50am - Initial email to partner contact (email not delivered)</t>
  </si>
  <si>
    <t>Vijay lakshmanan - vijaylakshmanan@in.ibm.com Contact Nbr: 080 41771629, +919686603011 (email not available)
Neeraj Mehta  972 792 4256"</t>
  </si>
  <si>
    <t>COGNIZANT-HYDERABAD | VPN | 203.99.209.250 | PDX</t>
  </si>
  <si>
    <t>5/21 Partner confirmed connection was decommissioned in call
Group Policy: cognizant-hyderabad
Cipher: ESP-AES-256-SHA
PFS Group: None
SA Lifetime: 1h</t>
  </si>
  <si>
    <t>Benevere</t>
  </si>
  <si>
    <t>173.166.216.252</t>
  </si>
  <si>
    <t>James McGuire - james.mcguire@CVSHealth.com - 407-854-6588
Paulette Mudrey - paulette.mudrey@cvshealth.com - (614)668-1292</t>
  </si>
  <si>
    <t>1/7 at 11:36am
2/10 at 1:44pm</t>
  </si>
  <si>
    <t>2/10 at 3:01pm - Confirmed no longer needed and decommissioned</t>
  </si>
  <si>
    <t>Trevor Spence - trspencer@allcovered.com
Wright, Brett A - brett@beneverepharmacy.com</t>
  </si>
  <si>
    <t>BENEVERE | VPN | 173.166.216.252 | SHEA</t>
  </si>
  <si>
    <t>70.137.121.249</t>
  </si>
  <si>
    <t>Wright, Brett A &lt;brett@beneverepharmacy.com&gt;</t>
  </si>
  <si>
    <t>BENEVERE | VPN | 70.137.121.249 | SHEA</t>
  </si>
  <si>
    <t>carefirst-smtp</t>
  </si>
  <si>
    <t>170.22.76.21</t>
  </si>
  <si>
    <t>Doreen Stables
doreen.stables@cvshealth.com</t>
  </si>
  <si>
    <t>12/18 5:07pm
1/9 at 9:53am - Tori provided timeline info</t>
  </si>
  <si>
    <t>12/22 at 1:39pm - Confirmed Doreen Stables as the correct POC. She is researching.
1/9 at 10:27am - Dorreen replied asking questions about another connection (she's stil involved)
1/9 at 12:22pm - Confirmed Carefirst connection is decommissioned and attached 2024 email thread as evidence</t>
  </si>
  <si>
    <t>Bob Pesakovic - 410-998-7041</t>
  </si>
  <si>
    <t>CAREFIRST-SMTP | VPN | 170.22.76.21 | SHEA</t>
  </si>
  <si>
    <t>carenet</t>
  </si>
  <si>
    <t>209.163.241.76</t>
  </si>
  <si>
    <t>Meghan Hinds &lt;meghan.hinds@cvshealth.com&gt; - no longer correct
Lidia Thomas &lt;lidia.thomas@cvshealth.com&gt;
Carrie-Ann Tierney &lt;carrie-ann.tierney@cvshealth.com&gt;
Abbey Cupp &lt;abbey.cupp@cvshealth.com&gt;</t>
  </si>
  <si>
    <t>1/6 at 5:48pm
3/9 at 10:12am - follow up and app info request</t>
  </si>
  <si>
    <t>1/7 at 8:57am - looped in Carrie-Ann Tierney and Abbey Cupp
3/9 at 10:16am - The connection is no longer used for 90D or ScriptSync</t>
  </si>
  <si>
    <t>DDREGGORS@CARENETHEALTHCARE.COM; Hanson, Katie N &lt;knhanson@carenethealth.com&gt;</t>
  </si>
  <si>
    <t>90D
ScriptSync</t>
  </si>
  <si>
    <t>CARENET | VPN | 209.163.241.76 | SHEA</t>
  </si>
  <si>
    <t>carenet-san-antonio</t>
  </si>
  <si>
    <t>67.79.204.211</t>
  </si>
  <si>
    <t>CARENET-SAN-ANTONIO | VPN | 67.79.204.211 | SHEA</t>
  </si>
  <si>
    <t>Crypto ACL: CARENET_SA_ACL
Cipher: AWS256-SHA256
PFS Group: group14
SA Lifetime: 8h</t>
  </si>
  <si>
    <t>CBC</t>
  </si>
  <si>
    <t>68.22.157.23</t>
  </si>
  <si>
    <t>Frans Westerhof - Franciscus.Westerhof - 480-614-7533 - not the correct contact
Ed Kim - edward.kim@cvshealth.com
Mike Daramola
Dhanya Nunna</t>
  </si>
  <si>
    <t>1/7 at 11:57am
3/9 at 11:52am - followed up with the new POCs and sent app info request
4/29 at 10:05am - Initial partner contact outreach</t>
  </si>
  <si>
    <t>1/7 at 12:07pm - Confirmed Frans is not the correct contact and looped in Edward Kim.
1/7 at 12:15pm - Suggested reaching out to Mike Daramola and Dhanya Nunna
4/29 at 12:18pm - Added Jonathan Bausman as the POC</t>
  </si>
  <si>
    <t>Johnathan Bausman - Jonathan.Bausman@CapBlueCross.COM</t>
  </si>
  <si>
    <t>CBC | VPN | 68.22.157.23 | SHEA</t>
  </si>
  <si>
    <t>As of 5/6: No CVS or partner contacts have validated and the FW ops team has noted this tunnel does not exist; marking as decom for now</t>
  </si>
  <si>
    <t xml:space="preserve">Company Voice                         </t>
  </si>
  <si>
    <t xml:space="preserve">96.93.32.226   </t>
  </si>
  <si>
    <t>Tim Boettlin - boettlint@aetna.com
Christal Zagar - zagar@aetna.com</t>
  </si>
  <si>
    <t>6/5 at 9:28am - Tim is not the correct POC.</t>
  </si>
  <si>
    <t>Michael Schabert mschabert@glci.net</t>
  </si>
  <si>
    <t>COMPANY VOICE | VPN | WIN-FW-VPN1 | 96.93.32.226 | WDC</t>
  </si>
  <si>
    <t>6/5: CVS POC is incorrect. Need to reach out to Partner Contacts</t>
  </si>
  <si>
    <t>CBC-2</t>
  </si>
  <si>
    <t>8.39.116.3</t>
  </si>
  <si>
    <t>Ankit D Shah - Ankit.Shah3@CVSHealth.com - 480 707 6608 - Ankit moved to a different team. Not correct but not sure who is correct.</t>
  </si>
  <si>
    <t>1/30 at 9:36am
4/29 at 10:05am - Initial partner contact outreach</t>
  </si>
  <si>
    <t>1/30 at 10:01am - Ankit moved to a different team. Asked clarifying question regarding PDX.
4/29 at 12:18pm - Added Jonathan Bausman as the POC</t>
  </si>
  <si>
    <t>CBC-2 | VPN | 8.39.116.3 | SHEA</t>
  </si>
  <si>
    <t xml:space="preserve">company-voice </t>
  </si>
  <si>
    <t>SHUT 4/08/2019CHG011704 CM0017929</t>
  </si>
  <si>
    <t xml:space="preserve">4.16.125.126 </t>
  </si>
  <si>
    <t>Boettlin, Timothy M &lt;BoettlinT@aetna.com&gt;  
Zagar, Christal A &lt;ZagarC@aetna.com&gt;</t>
  </si>
  <si>
    <t>Michael Schabert 215-485-4011  mschabert@glci.net</t>
  </si>
  <si>
    <t>COMPANY-VOICE | VPN | MID-FW-VPN1 | 4.16.125.126 | MDC</t>
  </si>
  <si>
    <t>Clear object</t>
  </si>
  <si>
    <t>Lori Francisco - lori.francisco@cvscaremark.com - 401-770-3064
Patricia Tetreault - patricia.tetreault@cvshealth.com - 401-770-2708</t>
  </si>
  <si>
    <t>1/29 at 9:01am - Patty Tetreault confirmed she does not own any of these connections.
1/29 at 9:16am - Lori Francisco confirmed this connection is decommissioned.</t>
  </si>
  <si>
    <t>Kevin Ray - kevin.ray@clearobject.com - 972-544-7495</t>
  </si>
  <si>
    <t>CLEAR OBJECT | VPN | 199.127.184.71 | SHEA</t>
  </si>
  <si>
    <t>cognizant - bangalor</t>
  </si>
  <si>
    <t>203.99.206.1</t>
  </si>
  <si>
    <t>Patricia Tetreault - patricia.tetreault@cvshealth.com - (401) 770-2708
Alain Lavelanet - alain.lavelanet@cvshealth.com - 401-770-6296</t>
  </si>
  <si>
    <t>1/28 at 2:19pm
4/29 at 2:10pm - Initial partner outreach</t>
  </si>
  <si>
    <t>vinoth pappannan - vinoth.pappannan@cognizant.com - +91-73977-32702
Nadiger Anil  - AnilBegur.Nadiger@CVSHealth.com - 214-543-8787</t>
  </si>
  <si>
    <t>COGNIZANT - BANGALOR | VPN | 203.99.206.1 | SHEA</t>
  </si>
  <si>
    <t>cognizant-chennai</t>
  </si>
  <si>
    <t>203.99.192.150</t>
  </si>
  <si>
    <t>Kashif Hussain - kashif.hussian@cvschealth.com - 254-640-7030
John Simon - john.simon@cvshealth.com - 480-314-8640
Patricia Tetreault - patricia.tetreault@cvshealth.com - 401-770-2708</t>
  </si>
  <si>
    <t>12/18 5:31pm - rejected send to Kashif for some reason
4/29 at 2:10pm - Initial partner outreach</t>
  </si>
  <si>
    <t>5/21 Partner confirmed connection was decommissioned in call
1/2 at 11:32am - John Simon is not the primary contact. I followed up asking for the correct contact on 1/6.</t>
  </si>
  <si>
    <t>Vivek Kumar - vivek.kumar1@cvscaremark.com - 928-286-7898
vinoth pappannan - vinoth.pappannan@cognizant.com - +91-73977-32702
Ashiqueahamaed.basheer@cognizant.com - +91 9944989114</t>
  </si>
  <si>
    <t>COGNIZANT-CHENNAI | VPN | 203.99.192.150 | SHEA</t>
  </si>
  <si>
    <t>5/21 Partner confirmed connection was decommissioned in call</t>
  </si>
  <si>
    <t>cognizant-coimbatore</t>
  </si>
  <si>
    <t>203.99.218.9</t>
  </si>
  <si>
    <t>1/2 at 11:32am - John Simon is not the primary contact. I followed up asking for the correct contact on 1/6.</t>
  </si>
  <si>
    <t>COGNIZANT-COIMBATORE | VPN | 203.99.218.9 | SHEA</t>
  </si>
  <si>
    <t>cognizant-kolkata</t>
  </si>
  <si>
    <t>203.99.211.3</t>
  </si>
  <si>
    <t>COGNIZANT-KOLKATA | VPN | 203.99.211.3 | SHEA</t>
  </si>
  <si>
    <t>Medhok</t>
  </si>
  <si>
    <t>MEDHOK | MPLS | RI</t>
  </si>
  <si>
    <t>win-ds-l2-edmz-1 Gig1/0/27</t>
  </si>
  <si>
    <t>206.213.201.130</t>
  </si>
  <si>
    <t>, Ray Hamilton&lt;ray.hamilton@
concentrix
.com&gt;
​Robert Pare &lt;robert.pare@concentrix.com&gt;;​Jason Spring &lt;jason.spring@concentrix.com&gt;​</t>
  </si>
  <si>
    <t>CONCENTRIX | MPLS | RI AND AZ</t>
  </si>
  <si>
    <t>mid-ds-l3-edmz-1 1/0/27(router 1) 2/0/27 (router 2)</t>
  </si>
  <si>
    <t xml:space="preserve">206.213.201.129 </t>
  </si>
  <si>
    <t>Deconti, Paul &lt;DecontiP@cvshealth.com&gt;,FioravantiC@cvshealth.com</t>
  </si>
  <si>
    <t xml:space="preserve">Ray Hamilton&lt;ray.hamilton@
concentrix
.com&gt;
​Robert Pare &lt;robert.pare@concentrix.com&gt;;​Jason Spring &lt;jason.spring@concentrix.com&gt;​
chris.henry@concentrix.com,jacob.mapes@concentrix.com, </t>
  </si>
  <si>
    <t>CONCENTRIX | MPLS | WIN-DS-L2-EDMZ-1 GIG1/0/27 | 206.213.201.130 | WDC</t>
  </si>
  <si>
    <t>CoramApria</t>
  </si>
  <si>
    <t>199.253.202.5</t>
  </si>
  <si>
    <t>Melissa polish - melissa.polich@coramhc.com - is there a CVS contact?</t>
  </si>
  <si>
    <t>1/29 at 2:54pm</t>
  </si>
  <si>
    <t>1/29 at 4:09pm - Looped in Paul Weber and will get back to us.
1/29 at 4:28 - Paul Weber is not familiar with any connectivity between Apria and Coram.
1/30 at 10:30am - Brian Boals confirmed the contract with Apria has been terminated and no data is sent/received with them</t>
  </si>
  <si>
    <t>Robert Van Vuren - Robert.Van.Vuren@nttdata.com - m. +1 714 388 5669; Paul W. Weber - Paul.Weber@coramhc.com - 916-857-7082</t>
  </si>
  <si>
    <t>CORAMAPRIA | VPN | 199.253.202.5 | SHEA</t>
  </si>
  <si>
    <t>creehan</t>
  </si>
  <si>
    <t>162.219.158.14</t>
  </si>
  <si>
    <t>James McGuire - james.mcguire@CVSHealth.com - 407/854-6588</t>
  </si>
  <si>
    <t>Nathan Ganter - nganter@creehan.com - 724.749.0030 x233
novalon ScriptMed Support - scriptmedsupport@creehan.com - 724.749.0030 x739</t>
  </si>
  <si>
    <t>CREEHAN | VPN | 162.219.158.14 | SHEA</t>
  </si>
  <si>
    <t>csc</t>
  </si>
  <si>
    <t>12.23.28.200</t>
  </si>
  <si>
    <t>John J Walsh - walshj3@aetna.com</t>
  </si>
  <si>
    <t>accounts@cleanmyducts.com</t>
  </si>
  <si>
    <t>CSC | VPN | 12.23.28.200 | SHEA</t>
  </si>
  <si>
    <t>CVS_ASB</t>
  </si>
  <si>
    <t>209.182.161.60</t>
  </si>
  <si>
    <t>Allison L Brown - allison.brown@cvshealth.com
Matt Kalgren
Sanja Dykert</t>
  </si>
  <si>
    <t>1/7 at 12:38pm</t>
  </si>
  <si>
    <t>1/7 at 4:23pm - Bijal asked what the impact of this project was
1/7 at 5:04pm - Bijal sent me a teams messages saying that Dan said they dont have any connections and it could be a BDA app.
1/7 at 9:11pm - Allison Brown confirmed the partner contact was incorrect and suggested asking Matt Kalgren or Sanja Dykert.
1/8 at 10:42am - I replied to a teams message with Bijal and Henry Perez clarifying how we got the list and tried to confirm that the CVS ASB connection is no longer in use and can be striked from the list.
1/9 at 1:17pm - Sanja replied over email asking for more details on the connection
1/9 at 1:40pm - Tori replied with the peer IP and let her know that Bijal seemed to think the connection was decommissioned.</t>
  </si>
  <si>
    <t>ALEX_BRUMARU_98@YAHOO.COM</t>
  </si>
  <si>
    <t>CVS_ASB | VPN | 209.182.161.60 | SHEA</t>
  </si>
  <si>
    <t>eReceivables</t>
  </si>
  <si>
    <t>72.68.73.26</t>
  </si>
  <si>
    <t>1/29 at 2:54pm
4/29 at 11:47am - Initial partner contact outreach (email not delivered)</t>
  </si>
  <si>
    <t>1/29 at 4:09pm - Looped in Paul Weber and will get back to us.
1/29 at 4:28 - Paul Weber is not familiar with any connectivity between Apria and Coram.</t>
  </si>
  <si>
    <t>GRIFF@ERECEIVABLES.COM (not valid)</t>
  </si>
  <si>
    <t>ERECEIVABLES | VPN | 72.68.73.26 | SHEA</t>
  </si>
  <si>
    <t>Marking as blocked due to no valid CVS or partner contact
As of 5/6: Firewall ops confirmed no VPN tunnel exists for this connection; marking as decom
Crypto ACL: RKON_eReceivables
Cipher: ESP-AES-256-SHA
PFS Group: None
SA Lifetime: Default
Partner Side: unknown</t>
  </si>
  <si>
    <t>Eurosort</t>
  </si>
  <si>
    <t>67.102.49.196</t>
  </si>
  <si>
    <t>Alexandra  Wilson - alexandra.wilson@cvshealth.com
Joseph DeDeo - Joseph.DeDeo@CVSHealth.com</t>
  </si>
  <si>
    <t>1/13 at 10:50 AM</t>
  </si>
  <si>
    <t>1/13 at 4:08 PM - Connection is no longer needed but is not decomissioned yet. New POC: Joseph DeDeo - Joseph.DeDeo@CVSHealth.com</t>
  </si>
  <si>
    <t>GM@EUROSORT.COM</t>
  </si>
  <si>
    <t>EUROSORT | VPN | 67.102.49.196 | SHEA</t>
  </si>
  <si>
    <t>Connection is no longer needed but is not decomissioned yet.
Crypto ACL: Outside_cryptomap_72
Cipher: ESP-3DES-SHA
PFS Group: None
SA Lifetime: Default</t>
  </si>
  <si>
    <t>EXL_Health_Manila</t>
  </si>
  <si>
    <t>122.55.38.132</t>
  </si>
  <si>
    <t>Kay Goebl - kay.goebl@cvshealth.com - 440-313-4890</t>
  </si>
  <si>
    <t>1/7 at 1:12pm
2/10 at 1:46pm
4/28 at 3:20pm - Initial partner contact outreach</t>
  </si>
  <si>
    <t>4/30 at 8:07am - Dinesh confirmed the connections were decom'ed.</t>
  </si>
  <si>
    <t>Chris Brown - Chris.Brown@CVSHealth.com - 
Dinesh Kumar - Dinesh.Kumar6@exlservice.com - +91 9953469824</t>
  </si>
  <si>
    <t>EXL_HEALTH_MANILA | VPN | 122.55.38.132 | SHEA</t>
  </si>
  <si>
    <t>EXL_Health_Noida</t>
  </si>
  <si>
    <t>115.111.186.3</t>
  </si>
  <si>
    <t>EXL_HEALTH_NOIDA | VPN | 115.111.186.3 | SHEA</t>
  </si>
  <si>
    <t>EXL_Health_NY</t>
  </si>
  <si>
    <t>12.227.225.254</t>
  </si>
  <si>
    <t>EXL_HEALTH_NY | VPN | 12.227.225.254 | SHEA</t>
  </si>
  <si>
    <t>Gateway-Health</t>
  </si>
  <si>
    <t>65.123.167.12</t>
  </si>
  <si>
    <t>Mario Fricano - Mario.Fricano@CVSHealth.com - 8474847465
Franciscus Westerhof - Franciscus.Westerhof@cvshealth.com - 480-614-7533</t>
  </si>
  <si>
    <t>Luke Diamant - 4129188555 -  4122876567
Brian Pettibon - BPettibon@gatewayhealthplan.com - 412-255-4555</t>
  </si>
  <si>
    <t>GATEWAY-HEALTH | VPN | 65.123.167.12 | SHEA</t>
  </si>
  <si>
    <t>122.54.230.4</t>
  </si>
  <si>
    <t>Carl Kennedy - Carl.Kennedy@cvshealth.com- 480-347-6025 - wrong email</t>
  </si>
  <si>
    <t>GENPACT | MPLS | RI AND AZ</t>
  </si>
  <si>
    <t>GoogleCloud</t>
  </si>
  <si>
    <t>35.238.10.59</t>
  </si>
  <si>
    <t>1/29 at 9:01am - Patty Tetreault confirmed she does not own any of these connections.
1/29 at 9:15am - Lori Francisco confirmed decommissioned.</t>
  </si>
  <si>
    <t>Darrel Rader - darrel.rader@clearobject.com - 214.843.7174
Kevin Ray - Kevin.ray@clearobject.com - 972-544-7495</t>
  </si>
  <si>
    <t>GOOGLECLOUD | VPN | 35.238.10.59 | SHEA</t>
  </si>
  <si>
    <t>138.69.2.1</t>
  </si>
  <si>
    <t>Graham, Heather L. &lt;Heather.Graham@CVSHealth.com&gt;; (contact)
Levin, Judith A &lt;Judith.Levin@cvshealth.com&gt;</t>
  </si>
  <si>
    <t>Greg Schwarz ; (609) 775-5829 gregory.schwarz@conduent.com</t>
  </si>
  <si>
    <t>CONDUENT | VPN | MID-FW-VPN2 | 138.69.2.1 | MDC</t>
  </si>
  <si>
    <t>Co-Ordinated Benefit Plans</t>
  </si>
  <si>
    <t>Active but not working</t>
  </si>
  <si>
    <t>144.129.17.146</t>
  </si>
  <si>
    <t>rcabrera@cbpinsure.com</t>
  </si>
  <si>
    <t>CO-ORDINATED BENEFIT PLANS | VPN | MID-FW-VPN1 | 144.129.17.146 | MDC</t>
  </si>
  <si>
    <t>headstrong-cincinnati</t>
  </si>
  <si>
    <t>124.4.200.120</t>
  </si>
  <si>
    <t>Joan Lao - joan.lao@cvshealth.com</t>
  </si>
  <si>
    <t xml:space="preserve">	
Vivek Gupta ( Cell - 224.401.7144)</t>
  </si>
  <si>
    <t>HEADSTRONG-CINCINNATI | VPN | 124.4.200.120 | SHEA</t>
  </si>
  <si>
    <t>headstrong-dallas</t>
  </si>
  <si>
    <t>119.43.200.89</t>
  </si>
  <si>
    <t>Russ Schadd - russ.schadd@caremark.com - 480-826-0086</t>
  </si>
  <si>
    <t>Aiken Altabano - Aiken.Altabano@genpact.com - (632) 8861888 loc 6749</t>
  </si>
  <si>
    <t>HEADSTRONG-DALLAS | VPN | 119.43.200.89 | SHEA</t>
  </si>
  <si>
    <t>CO-ORDINATED BENEFIT PLANS | VPN | MID-FW-VPN2 | 144.129.17.146 | MDC</t>
  </si>
  <si>
    <t>corvel</t>
  </si>
  <si>
    <t>70.103.104.22</t>
  </si>
  <si>
    <t>Ratliff-Hobrock, Amy J &lt;ratliffaj@cvshealth.com&gt; /Graham, Scott (Fredrick)/</t>
  </si>
  <si>
    <t>6/5 - Initial CVS email</t>
  </si>
  <si>
    <t>CORVEL | VPN | MID-FW-VPN2 | 70.103.104.22 | MDC</t>
  </si>
  <si>
    <t>cotiviti</t>
  </si>
  <si>
    <t>104.152.173.20</t>
  </si>
  <si>
    <t>Kishore Ratakonda - RatakondaK@aetna.com
Warren Duke - Warren.Duke@CVSHealth.com</t>
  </si>
  <si>
    <t>6/3 - initial CVS email</t>
  </si>
  <si>
    <t>6/3 at 4:23pm - James is no longer the contact. Added Kishore and Warren to help.</t>
  </si>
  <si>
    <t>Sue McGill - sue.mcgill@cotiviti.com
Andrew Burke - netops.data@cotiviti.com</t>
  </si>
  <si>
    <t>COTIVITI | VPN | WIN-FW-VPN1 | 104.152.173.20 | WDC</t>
  </si>
  <si>
    <t>Headstrong-Gurgaon</t>
  </si>
  <si>
    <t>58.2.237.55</t>
  </si>
  <si>
    <t>Matthew Heck - matthew.heck@cvshealth.com - 412-825-8735</t>
  </si>
  <si>
    <t>1/13 at 11:11 AM
2/10 at 10:59am
4/29 at 11:34am - Initial partner contact outreach</t>
  </si>
  <si>
    <t xml:space="preserve">2/10 at 12:10pm - Added Gopinath.Meda@CVSHealth.com to find more info
2/10 at 12:11pm - Replied back saying veerababu.rajani1@genpact.com is the main POC
5/4 at 5:51am - They are unable to identify the connection but believe it was decommissioned years ago
5/21 at 7:47pm - Eric Lang spoke with FW team and confirmed inactive
</t>
  </si>
  <si>
    <t>Kamal Srivastava - kamal.srivastava@genpact.com - +91 9899687243
veerababu.rajani1@genpact.com (main POC)</t>
  </si>
  <si>
    <t>HEADSTRONG-GURGAON | VPN | 58.2.237.55 | SHEA</t>
  </si>
  <si>
    <t>HEADSTRONG-MANILA</t>
  </si>
  <si>
    <t>202.164.190.4</t>
  </si>
  <si>
    <t>Gerson Santos - gerson.santos@cvshealth.com - 214-797-5498</t>
  </si>
  <si>
    <t>Technology Services Department Tel Number - (63) 2 8856132 US Number - (1) 703 2865264 Email - raquel.dosado@headstrong.com</t>
  </si>
  <si>
    <t>HEADSTRONG-MANILA | VPN | 202.164.190.4 | SHEA</t>
  </si>
  <si>
    <t>HEADSTRONG-NOIDA3-CMX</t>
  </si>
  <si>
    <t>202.129.215.4</t>
  </si>
  <si>
    <t xml:space="preserve">
Kamal Srivastava - Kamal.Srivastava@genpact.com
Contact - 602 814 7503
Vivek Gupta ( Cell - 224.401.7144)</t>
  </si>
  <si>
    <t>HEADSTRONG-NOIDA3-CMX | VPN | 202.129.215.4 | SHEA</t>
  </si>
  <si>
    <t>HealthAxis</t>
  </si>
  <si>
    <t>172.81.14.145</t>
  </si>
  <si>
    <t>Lars Sorensen - lars.sorensen@cvscaremark.com - 847-484-9406</t>
  </si>
  <si>
    <t xml:space="preserve">Bethany Williams
Kevin White - KWhite@Healthaxis.com - 972-373-2289
</t>
  </si>
  <si>
    <t>HEALTHAXIS | VPN | 172.81.14.145 | SHEA</t>
  </si>
  <si>
    <t>hp</t>
  </si>
  <si>
    <t>144.223.21.62</t>
  </si>
  <si>
    <t>Rob Dyhouse - rsdyhouse@cvshealth.com</t>
  </si>
  <si>
    <t>elizabeth.depeter@hpe.com</t>
  </si>
  <si>
    <t>HP | VPN | 144.223.21.62 | SHEA</t>
  </si>
  <si>
    <t xml:space="preserve">Cotiviti Healthcare                   </t>
  </si>
  <si>
    <t>209.208.242.190</t>
  </si>
  <si>
    <t>File transfer to Cotiviti servers</t>
  </si>
  <si>
    <t>COTIVITI HEALTHCARE | VPN | WIN-FW-VPN1 | 209.208.242.190 | WDC</t>
  </si>
  <si>
    <t xml:space="preserve">Council of Aging   DR               </t>
  </si>
  <si>
    <t>208.173.159.141</t>
  </si>
  <si>
    <t>Hollie Tanzillo = TanzilloH@aetna.com
Daniel Stegman - StegmanD@aetna.com</t>
  </si>
  <si>
    <t>Rick Ivey - rivey@help4seniors.org</t>
  </si>
  <si>
    <t>COUNCIL OF AGING DR | VPN | WIN-FW-VPN1 | 208.173.159.141 | WDC</t>
  </si>
  <si>
    <t>hp-sacramento</t>
  </si>
  <si>
    <t>192.85.124.92</t>
  </si>
  <si>
    <t>HP-SACRAMENTO | VPN | 192.85.124.92 | SHEA</t>
  </si>
  <si>
    <t>INSTAMED | VPN | 64.79.174.222 | SHEA</t>
  </si>
  <si>
    <t>Crypto ACL: SEMA_INST_DR
Cipher: ESP-AES-256-SHA
PFS Group: None
SA Lifetime: Default</t>
  </si>
  <si>
    <t>Council-Of-Aging Primary</t>
  </si>
  <si>
    <t>SHUT 6/08/2019CHG0117069 CM0017929</t>
  </si>
  <si>
    <t xml:space="preserve">69.61.225.34 </t>
  </si>
  <si>
    <t>Hollie Tanzillo/Daniel Stegman/Bobby Jennings</t>
  </si>
  <si>
    <t xml:space="preserve">Rick Ivey 513-345-3333 rivey@help4seniors.org 
 Ken Bailey kbailey@help4seniors.org </t>
  </si>
  <si>
    <t>COUNCIL-OF-AGING PRIMARY | VPN | MID-FW-VPN1 | 69.61.225.34 | MDC</t>
  </si>
  <si>
    <t>CT Laborers Health Fund</t>
  </si>
  <si>
    <t>SHUT 9/08/2019CHG0117096 CM0017929</t>
  </si>
  <si>
    <t>96.92.145.165</t>
  </si>
  <si>
    <t>Kimberly O'Key okeyk@aetna.com 860-273-5260</t>
  </si>
  <si>
    <t>Peter Aldrich 203-774-0294 support@cagedata.com</t>
  </si>
  <si>
    <t>CT LABORERS HEALTH FUND | VPN | MID-FW-VPN1 | 96.92.145.165 | MDC</t>
  </si>
  <si>
    <t>intelrx-1</t>
  </si>
  <si>
    <t>74.203.202.40</t>
  </si>
  <si>
    <t>1/7 at 11:23am</t>
  </si>
  <si>
    <t>1/7 at 11:26am - Anna seems very confused.
4/9 - Steve Sterling confirmed that service is terminated</t>
  </si>
  <si>
    <t>Marc Frydrychowicz   - marc.frydrychowicz@milliman.com - 1 815 675 2929</t>
  </si>
  <si>
    <t>INTELRX-1 | VPN | 74.203.202.40 | SHEA</t>
  </si>
  <si>
    <t>According to Steven, service is fully stopped and now it is cloud-based
Crypto ACL: Outside_cryptomap_85
Cipher: ESP-3DES-SHA
PFS Group: group2
SA Lifetime: Default</t>
  </si>
  <si>
    <t>mckesson</t>
  </si>
  <si>
    <t>143.112.144.68</t>
  </si>
  <si>
    <t>Lisa Errett - Lisa.Errett@CVSHealth.com</t>
  </si>
  <si>
    <t>3/16 at 12:39pm - initial email and app info request</t>
  </si>
  <si>
    <t>3/16 at 12:42pm - Per POC: "McKesson termed the PBM relationship for 2026."</t>
  </si>
  <si>
    <t>Heather Houston - heather.houston@mckesson.com - 415-983-7517
Evelyn Lu  - evelyn.lu@mckesson.com - 415-983-7561
Aditya Sethi - 972-446-5495 (w)</t>
  </si>
  <si>
    <t>MCKESSON | VPN | 143.112.112.1 | PDX</t>
  </si>
  <si>
    <t>Crypto ACL: mckesson_coram
Cipher: ESP-AES-256-SHA
PFS Group: None
SA Lifetime: 8h</t>
  </si>
  <si>
    <t>SHUT - FM-2169 5/11/2020</t>
  </si>
  <si>
    <t>143.112.132.8</t>
  </si>
  <si>
    <t>BuckleyMT@aetna.com</t>
  </si>
  <si>
    <t>Kapeel.sharma@mckesson.com</t>
  </si>
  <si>
    <t xml:space="preserve">RDP and SSH access to  xasrxosibra.aetna.com </t>
  </si>
  <si>
    <t>MCKESSON | VPN | WIN-FW-VPN2 | 143.112.132.8 | WDC</t>
  </si>
  <si>
    <t>Crypto ACL: Outside_crytpomap_156
Cipher: ESP-AES-128-SHA, ESP-AES-128-MD5
PFS Group: None
SA Lifetime: 1h</t>
  </si>
  <si>
    <t>McKessonCoram</t>
  </si>
  <si>
    <t>143.112.144.250</t>
  </si>
  <si>
    <t>Heather Houston - heather.houston@mckesson.com - 415-983-7517
Evelyn Lu  - velyn.lu@mckesson.com - 415-983-7561
Aditya Sethi - 972-446-5495 (w)</t>
  </si>
  <si>
    <t>MCKESSONCORAM | VPN | 143.112.144.250 | PDX</t>
  </si>
  <si>
    <t>Crypto ACL: Outside_cryptomap_97
Cipher: ESP-AES-256-SHA
PFS Group: None
SA Lifetime: 1h</t>
  </si>
  <si>
    <t>CTlaborers-ipsec</t>
  </si>
  <si>
    <t>96.92.145.165 50.210.68.61</t>
  </si>
  <si>
    <t>CTLABORERS-IPSEC | VPN | MID-FW-VPN1 | 96.92.145.165 50.210.68.61 | MDC</t>
  </si>
  <si>
    <t>medhokIII</t>
  </si>
  <si>
    <t>199.180.187.93</t>
  </si>
  <si>
    <t>Francis Gerace - ken.gerace@cvshealth.com - 813-473-0002
Keith Hessefort - Keith.Hessefort@CVSHealth.com
Satya Devisetty - Satya.Devisetty@CVSHealth.com</t>
  </si>
  <si>
    <t>3/16 at 1:00pm - initial email and app info request
3/30 at 11:22am - Parsia replied back providing additional info and new connections
4/29 at 1:21pm - Parsia replied back asking clarifying questions</t>
  </si>
  <si>
    <t>1/30 at 10:01am - Ankit moved to another team. Satya Devisetty and Keith Hessefort are the new contacts.
3/31 at 10:03am - Keith asked Ken to check with MHK for the VPN list
4/2 - Ken: "The tunnels mentioned below can be sunset. They are not in use by MHK."</t>
  </si>
  <si>
    <t>813 304 2800 x1</t>
  </si>
  <si>
    <t>MEDHOKIII | VPN | 199.180.187.93 | PDX</t>
  </si>
  <si>
    <t>medhok-richardson</t>
  </si>
  <si>
    <t>199.204.139.93</t>
  </si>
  <si>
    <t>Patrick Keene - Vendor Manager
Vaishnavi Acharya, vacharya@medhok.com - 813-304-2800 ext 1010</t>
  </si>
  <si>
    <t>MEDHOK-RICHARDSON | VPN | 199.204.139.93 | PDX</t>
  </si>
  <si>
    <t>Crypto ACL: Outside_cryptomap_57
Cipher: ESP-AES-256-SHA
PFS Group: None
SA Lifetime: 8h</t>
  </si>
  <si>
    <t>intelrx-2</t>
  </si>
  <si>
    <t>208.66.173.230</t>
  </si>
  <si>
    <t>INTELRX-2 | VPN | 208.66.173.230 | SHEA</t>
  </si>
  <si>
    <t>According to Steve, service is fully stopped and now cloud-based.
Crypto ACL: Outside_cryptomap_86
Cipher: ESP-3DES-SHA
PFS Group: None
SA Lifetime: 1h</t>
  </si>
  <si>
    <t>LenovoManagedServices</t>
  </si>
  <si>
    <t>144.188.129.121</t>
  </si>
  <si>
    <t>Tom Bibeault &lt;tbibeault@lenovo.com&gt;</t>
  </si>
  <si>
    <t>LENOVOMANAGEDSERVICES | VPN | 144.188.128.81 | SHEA</t>
  </si>
  <si>
    <t>144.188.128.81</t>
  </si>
  <si>
    <t>Mark Burns - mark.burns@cvshealth.com - 480-391-4380</t>
  </si>
  <si>
    <t>LENOVOMANAGEDSERVICES | VPN | 144.188.129.121 | SHEA</t>
  </si>
  <si>
    <t>MEDHOK | MPLS | SHEA</t>
  </si>
  <si>
    <t>Medica</t>
  </si>
  <si>
    <t>207.126.184.4</t>
  </si>
  <si>
    <t>Michael Jaeger - michael.jaeger@cvshealth.com</t>
  </si>
  <si>
    <t>1/13 at 2:25 PM
4/29 at 11:04am - Initial partner contact outreach (email not delivered)</t>
  </si>
  <si>
    <t>1/14 at 11:14am - "I apologize, but I have no idea."
1/22 at 10:28am - Parsia replied back with  clarifying questions.
1/22 at 10:47am - Replied back asking questions and believes they are no longer a client</t>
  </si>
  <si>
    <t>Carol Held - Carol.Held@medica.com - 952-992-2586
Mark Lanie - Mark.lanie@medica.com - 952-992- 2653 - 612–385-3759
(Both emails are not valid)</t>
  </si>
  <si>
    <t>MEDICA | VPN | 207.126.184.4 | SHEA</t>
  </si>
  <si>
    <t>Marking as decom due to Michael's comment but double check.
Crypto ACL: Outside_181_cryptomap
Cipher: ESP-AES-256-SHA
PFS Group: None
SA Lifetime: 1h</t>
  </si>
  <si>
    <t>medica</t>
  </si>
  <si>
    <t>207.126.189.4</t>
  </si>
  <si>
    <t>MEDICA | VPN | 207.126.188.4 | SHEA</t>
  </si>
  <si>
    <t>Marking as decom due to Michael's comment but double check.
Crypto ACL: Outside_185_cryptomap
Cipher: ESP-AES-256-SHA
PFS Group: None
SA Lifetime: 1h</t>
  </si>
  <si>
    <t>207.126.188.4</t>
  </si>
  <si>
    <t>MEDICA | VPN | 207.126.189.4 | SHEA</t>
  </si>
  <si>
    <t>Marking as decom due to Michael's comment but double check.
Crypto ACL: Outside_184_cryptomap
Cipher: ESP-AES-256-SHA
PFS Group: None
SA Lifetime: 1h</t>
  </si>
  <si>
    <t>64.73.134.126</t>
  </si>
  <si>
    <t>MEDICA | VPN | 64.73.134.126 | SHEA</t>
  </si>
  <si>
    <t>Marking as decom due to Michael's comment but double check.
Crypto ACL: Outside_cryptomap_64
Cipher: ESP-AES-256-SHA
PFS Group: None
SA Lifetime: Default</t>
  </si>
  <si>
    <t>Cultural Insurance (CISI)</t>
  </si>
  <si>
    <t>68.171.136.132</t>
  </si>
  <si>
    <t>Julio Moyano &lt;jmoyano@aifs.com&gt;</t>
  </si>
  <si>
    <t>CULTURAL INSURANCE (CISI) | VPN | WIN-FW-VPN2 | 68.171.136.132 | WDC</t>
  </si>
  <si>
    <t>MMM</t>
  </si>
  <si>
    <t>63.128.77.28</t>
  </si>
  <si>
    <t>Tyrone Chavez - Tyrone.Chavez@cvshealth.com - 480-314-8085</t>
  </si>
  <si>
    <t>David Echevarría - david.echevarria@mso-pr.com - 787-717-0276 - 787-622-3000 x. 8592</t>
  </si>
  <si>
    <t>MMM | VPN | 63.128.77.28 | SHEA</t>
  </si>
  <si>
    <t xml:space="preserve">Dell BPO                              </t>
  </si>
  <si>
    <t xml:space="preserve">74.51.221.132  </t>
  </si>
  <si>
    <t>Abraham Lobo LoboA@AETNA.com</t>
  </si>
  <si>
    <t>James Pearl  - James.pearl@nttdata.com</t>
  </si>
  <si>
    <t>Aetna FTP and MQ servers</t>
  </si>
  <si>
    <t>DELL BPO | VPN | WIN-FW-VPN1 | 74.51.221.132 | WDC</t>
  </si>
  <si>
    <t>MMM2</t>
  </si>
  <si>
    <t>96.45.123.212</t>
  </si>
  <si>
    <t>Alex Robles-Lebron - alex.robles-lebron@cvshealth.com</t>
  </si>
  <si>
    <t xml:space="preserve">Client Name:  MMM Health Care (Listed as MMM2)  
Contact Person:  Iris Morant Rodriguez
Email: iris.morant-rodriguez@mso-pr.com
</t>
  </si>
  <si>
    <t>MMM2 | VPN | 96.45.123.212 | SHEA</t>
  </si>
  <si>
    <t>mmm-georgia</t>
  </si>
  <si>
    <t>63.128.77.30</t>
  </si>
  <si>
    <t>MMM-GEORGIA | VPN | 63.128.77.30 | SHEA</t>
  </si>
  <si>
    <t>Deloitte</t>
  </si>
  <si>
    <t>167.219.88.145</t>
  </si>
  <si>
    <t>Bhushan, Phani &lt;Phani.Bhushan@CVSHealth.com&gt;</t>
  </si>
  <si>
    <t>Satish Kumar Katakam
+91 8983270731; ksatishkumar@deloitte.com</t>
  </si>
  <si>
    <t>DELOITTE | VPN | WIN-FW-VPN1 | 167.219.88.145 | WDC</t>
  </si>
  <si>
    <t>Dental Xchange(dxcom)</t>
  </si>
  <si>
    <t xml:space="preserve">70.96.86.162   </t>
  </si>
  <si>
    <t>Thomas Rabbe - RabbeTR@aetna.com</t>
  </si>
  <si>
    <t>https and ftp to iwhouse.aetna.com servers</t>
  </si>
  <si>
    <t>DENTAL XCHANGE(DXCOM) | VPN | WIN-FW-VPN1 | 70.96.86.162 | WDC</t>
  </si>
  <si>
    <t>4/22 Blocked, no current CVS contact or partner listed</t>
  </si>
  <si>
    <t>dhs-ipsec</t>
  </si>
  <si>
    <t>96.71.248.65</t>
  </si>
  <si>
    <t>DHS-IPSEC | VPN | MID-FW-VPN1 | 96.71.248.65 | MDC</t>
  </si>
  <si>
    <t>nice</t>
  </si>
  <si>
    <t>54.83.104.162</t>
  </si>
  <si>
    <t xml:space="preserve">Patricia Tetreault - patricia.tetreault@cvshealth.com - 401-770-2708
</t>
  </si>
  <si>
    <t xml:space="preserve"> Brad Bacci - bbacci@deloitte.com - 866-806-4997</t>
  </si>
  <si>
    <t>NICE | VPN | WIN-FW-VPN1 | 208.70.192.145 | WDC</t>
  </si>
  <si>
    <t>novologix</t>
  </si>
  <si>
    <t>65.103.39.209</t>
  </si>
  <si>
    <t>Jed Knutson - jed.knutson@cvshealth.com - 952-826-2587
James Twohey - James.Twohey@cvshealth.com - 410-770-5066</t>
  </si>
  <si>
    <t>1/28 at 2:58pm
3/5 at 4:09pm - follow up and app info request</t>
  </si>
  <si>
    <t>Jed Knutson - jed.knutson@caremark.com - 952-826-2587</t>
  </si>
  <si>
    <t>NOVOLOGIX | VPN | 65.103.39.209 | SHEA</t>
  </si>
  <si>
    <t>Marked as decom on 5/4 due to no response from POC, Firewall Ops team finding no valid tunnels, and the connection previously being listed as decom.</t>
  </si>
  <si>
    <t>novologix-minnetonka</t>
  </si>
  <si>
    <t>66.192.70.154</t>
  </si>
  <si>
    <t>NOVOLOGIX-MINNETONKA | VPN | 66.192.70.154 | SHEA</t>
  </si>
  <si>
    <t>Pega</t>
  </si>
  <si>
    <t>50.17.255.246</t>
  </si>
  <si>
    <t>PEGA | VPN | 50.17.255.246 | SHEA</t>
  </si>
  <si>
    <t>As of 5/6: Firewall ops confirmed no VPN tunnel exists for this connection; marking as decom</t>
  </si>
  <si>
    <t>Duke HR</t>
  </si>
  <si>
    <t xml:space="preserve">SHUT 4/19/2018 CHG0081763   </t>
  </si>
  <si>
    <t xml:space="preserve">152.3.219.19   </t>
  </si>
  <si>
    <t>Robert Rabb  - RCRabb@aetna.com
Laura Maldonado-Burgos - Maldonado-BurgosL@aetna.com</t>
  </si>
  <si>
    <t xml:space="preserve">Jane Walbrun - jane.walbrun@duke.edu </t>
  </si>
  <si>
    <t>FTP Access to Coventry IDX Server</t>
  </si>
  <si>
    <t>DUKE HR | VPN | WIN-FW-VPN1 | 152.3.219.19 | WDC</t>
  </si>
  <si>
    <t>pega</t>
  </si>
  <si>
    <t>54.208.160.5</t>
  </si>
  <si>
    <t>PEGA | VPN | 54.208.160.5 | SHEA</t>
  </si>
  <si>
    <t>pega-cloud</t>
  </si>
  <si>
    <t>52.3.8.200</t>
  </si>
  <si>
    <t>PEGA-CLOUD | VPN | 52.3.8.200 | SHEA</t>
  </si>
  <si>
    <t>52.54.255.115</t>
  </si>
  <si>
    <t>PEGA-CLOUD | VPN | 52.54.255.115 | SHEA</t>
  </si>
  <si>
    <t>Project_Edison</t>
  </si>
  <si>
    <t>96.86.241.209</t>
  </si>
  <si>
    <t>Paulette S. Mudrey - paulette.mudrey@cvshealth.com - 614-668-1292</t>
  </si>
  <si>
    <t>Encompass RX - michael.seabrum@encompassrx.com - 470-367-2334</t>
  </si>
  <si>
    <t>PROJECT_EDISON | VPN | 96.86.241.209 | SHEA</t>
  </si>
  <si>
    <t>PWC</t>
  </si>
  <si>
    <t>65.183.24.201</t>
  </si>
  <si>
    <t>Maria Burke - mburke@cvshealth.com - 401-770-7801</t>
  </si>
  <si>
    <t>Networking Contact - randall.w.elliott@us.pwc.com, 303-258-6802
Onsite Manager - Nitin Lalit, nitin.lalit@us.pwc.com, 401-369-5523</t>
  </si>
  <si>
    <t>PWC | VPN | 65.183.24.201 | SHEA</t>
  </si>
  <si>
    <t>rackspace</t>
  </si>
  <si>
    <t>204.232.254.82</t>
  </si>
  <si>
    <t xml:space="preserve">Christopher Anderson - 2 accounts. Double check
Pamela K Lumnah - pamela.lumnah@cvshealth.com;
Ravi kakarla - ravi.kakarla@cvshealth.com
</t>
  </si>
  <si>
    <t>1/16 at 4:06pm</t>
  </si>
  <si>
    <t>1/16 at 4:25pm - Connection will be moving to CVS Azure by March
1/24 at 2:42pm - The connection is no longer needed
1/25 at 1:00pm - We don't use Rackspace anymore</t>
  </si>
  <si>
    <t>RACKSPACE | VPN | 204.232.254.82 | SHEA</t>
  </si>
  <si>
    <t>Moving to CVS Azure by March
Crypto ACL: Outside_crytpomap_44
Cipher: ESP-AES-256-SHA
PFS Group: None
SA Lifetime: 1h</t>
  </si>
  <si>
    <t>RANDSTAD_INDIA</t>
  </si>
  <si>
    <t>18.136.77.39</t>
  </si>
  <si>
    <t>RANDSTAD_INDIA | VPN | 13.228.60.71 | SHEA</t>
  </si>
  <si>
    <t>Group Policy: RANDSTAD_INDIA
Crypto ACL: RANDSTAD_INDIA_EASTACL_B
Cipher: AES-256
PFS Group: group5
SA Lifetime: Default
Partner Side ARIN: Amazon Data Services Singapore</t>
  </si>
  <si>
    <t>13.228.60.71</t>
  </si>
  <si>
    <t>RANDSTAD_INDIA | VPN | 18.136.77.39 | SHEA</t>
  </si>
  <si>
    <t>Group Policy: RANDSTAD_INDIA
Crypto ACL: RANDSTAD_INDIA_EASTACL_A
Cipher: ESP-AES-256-SHA
PFS Group: group5
SA Lifetime: 8h
Partner Side ARIN: Amazon Data Services Singapore</t>
  </si>
  <si>
    <t>RKON | VPN | 207.223.37.240 | SHEA</t>
  </si>
  <si>
    <t>Crypto ACL: Outside_cryptomap_248
Cipher: AES256-SHA256
PFS Group: group2
SA Lifetime: Default</t>
  </si>
  <si>
    <t>RMK_PointWes</t>
  </si>
  <si>
    <t>203.177.49.4</t>
  </si>
  <si>
    <t>Robert Muller - Robert.Muller@CVSHealth.com - 2019067621</t>
  </si>
  <si>
    <t>Bill Jackson - wjackson@rmkconsulting.com - 862 – 250 – 3716
Charisse Chosantos - Charisse.chosantos@pointwest.com - 888   210 -   9078 ext 2235
John Mattaliano -  jmatt@rmkcoonsulting.com  - ( 940) - 914 - 6406</t>
  </si>
  <si>
    <t>RMK_POINTWES | VPN | 203.177.49.4 | SHEA</t>
  </si>
  <si>
    <t>RXSENSE_ORE</t>
  </si>
  <si>
    <t>44.225.3.131</t>
  </si>
  <si>
    <t>Steven Calvery</t>
  </si>
  <si>
    <t>4/14 sent initial email to verify connection status</t>
  </si>
  <si>
    <t>4/15 2. Kaitlyn validated there are no active VPN connections with CVS.  Tunnels are decommissioned.  1. Kaitlyn replied asking for CVS firewall peer IPs to validate the connection status.</t>
  </si>
  <si>
    <t>Kaitlyn Phillips: kphillips@rxsense.com  (main poc)
Abby Kallal: akallal@rxsense.com (main poc)
JENGLISH@RXSENSE.COM</t>
  </si>
  <si>
    <t>RXSENSE_ORE | VPN | 44.225.3.131 | PDX</t>
  </si>
  <si>
    <t>Crypto ACL: RXSENSE_ORE
Cipher: AES256-SHA256
PFS Group: group14
SA Lifetime: Default</t>
  </si>
  <si>
    <t>RXSENSE_VA</t>
  </si>
  <si>
    <t>52.7.253.173</t>
  </si>
  <si>
    <t>Kaitlyn Phillips: kphillips@rxsense.com (main poc)
Abby Kallal: akallal@rxsense.com (main poc)
JENGLISH@RXSENSE.COM</t>
  </si>
  <si>
    <t>RXSENSE_VA | VPN | 52.7.253.173 | PDX</t>
  </si>
  <si>
    <t>Crypto ACL: RXSENSE_VA
Cipher: AES256-SHA256
PFS Group: group14
SA Lifetime: Default</t>
  </si>
  <si>
    <t>Rowan</t>
  </si>
  <si>
    <t>184.105.249.2</t>
  </si>
  <si>
    <t>Tory Bell  - tory.bell@cvscaremark.com - 8602277577</t>
  </si>
  <si>
    <t xml:space="preserve">Doug Moenter - dmoenter@nexuspracticeit.com  - 614 - 653 - 9266
Nexus   Support  - support@nexuspracticeit.com - 614   -   212  -   8100   </t>
  </si>
  <si>
    <t>ROWAN | VPN | 184.105.249.2 | SHEA</t>
  </si>
  <si>
    <t>SAP-Germany</t>
  </si>
  <si>
    <t>194.39.131.181</t>
  </si>
  <si>
    <t>Gopinath Pariyaram - gopinath.pariyaram@cvshealth.com</t>
  </si>
  <si>
    <t>THOMAS.PORTER@SAP.COM; Wirtanen, Damon &lt;damon.wirtanen@sap.com&gt;</t>
  </si>
  <si>
    <t>SAP-GERMANY | VPN | 194.39.131.181 | SHEA</t>
  </si>
  <si>
    <t>Group Policy: SAP-Germany
Crypto ACL: CVS-SAPGERMANY
Cipher: AES256-SHA256
PFS Group: None
SA Lifetime: 2h
Partner Side ARIN: SAP SE</t>
  </si>
  <si>
    <t>sapient</t>
  </si>
  <si>
    <t>59.144.18.66</t>
  </si>
  <si>
    <t>Dinesh Palanivel- Dineshprabhu.Palanivel@CVSHealth.com- 4017728183
Fazal Saiyed - fazal.saiyed@cvshealth.com - 2035507305</t>
  </si>
  <si>
    <t>Monty Santiago - Monty.Santiago@caremark.com- 480-614-7348
Onsite TL Nitin Kumar Pandey - 203 550 7305
Onsite TL Sunish Verma - 847 281 6089
Ashwin.Kumar@caremark.com</t>
  </si>
  <si>
    <t>SAPIENT | VPN | 59.144.18.66 | SHEA</t>
  </si>
  <si>
    <t>ScanData</t>
  </si>
  <si>
    <t>184.106.120.151</t>
  </si>
  <si>
    <t>not existed</t>
  </si>
  <si>
    <t>Taylor, David &lt;David.Taylor4@CVSHealth.com&gt;</t>
  </si>
  <si>
    <t>1/30 at 10:42am
2/11 at 10:42am
4/29 at 10:43am - Messaged David Taylor, the primary POC</t>
  </si>
  <si>
    <t>4/6 at 11:26am - David Taylor is primary contact; remove Andy and Kevin.</t>
  </si>
  <si>
    <t>wbreyfogle@scandata.com</t>
  </si>
  <si>
    <t>SCANDATA | VPN | 184.106.120.151 | SHEA</t>
  </si>
  <si>
    <t xml:space="preserve">dxccom </t>
  </si>
  <si>
    <t xml:space="preserve">216.177.65.158 </t>
  </si>
  <si>
    <t>Alex Nastar Phone: 800-576-6412 x100 anastar@webclaim.net</t>
  </si>
  <si>
    <t>Primary er enly B1B Connection</t>
  </si>
  <si>
    <t>DXCCOM | VPN | MID-FW-VPN1 | 216.177.65.158 | MDC</t>
  </si>
  <si>
    <t>scandata</t>
  </si>
  <si>
    <t>50.84.80.68</t>
  </si>
  <si>
    <t>SCANDATA | VPN | 50.84.80.68 | SHEA</t>
  </si>
  <si>
    <t>SEMA_INST_DEV</t>
  </si>
  <si>
    <t>66.192.6.234</t>
  </si>
  <si>
    <t>Brian Craft - Brian.Craft@cvshealth.com - 972.523.7166</t>
  </si>
  <si>
    <t>Todd Behrens - Todd.behrens@instamed.com - 2153600818</t>
  </si>
  <si>
    <t>SEMA_INST_DEV | VPN | 66.192.6.234 | SHEA</t>
  </si>
  <si>
    <t>SEMA_INST_PRD</t>
  </si>
  <si>
    <t>64.79.174.45</t>
  </si>
  <si>
    <t>JoAnn Ercoli - JoAnn.Ercoli@CVSHealth.com - 4017706309</t>
  </si>
  <si>
    <t>SEMA_INST_PRD | VPN | 64.79.174.45 | SHEA</t>
  </si>
  <si>
    <t>Crypto ACL: SEMA_INST_PRD
Cipher: ESP-AES-256-SHA
PFS Group: None
SA Lifetime: Default
Partner Side ARIN: PHD Computing</t>
  </si>
  <si>
    <t>e911 - NY</t>
  </si>
  <si>
    <t>SHUT 2/08/2019  -CHG01170208 CM0017929</t>
  </si>
  <si>
    <t xml:space="preserve">208.71.179.2 </t>
  </si>
  <si>
    <t xml:space="preserve">Primary - Richard Steves A588044  / Secondary -  Tefe Jakova A232075 </t>
  </si>
  <si>
    <t>911 Enable Technical Support Center (NOC) 888-908-4167
noc@911enable.com support@911.west.com or support@connexon.com
Frank Killen 514-940-6229  frank.killen@intrado.com</t>
  </si>
  <si>
    <t>SIP traffic for E911.</t>
  </si>
  <si>
    <t>E911 - NY | VPN | MID-FW-VPN1 | 208.71.179.2 | MDC</t>
  </si>
  <si>
    <t>SEMAFONE</t>
  </si>
  <si>
    <t>167.98.51.117</t>
  </si>
  <si>
    <t>Todd.behrens@instamed.com 2153600818</t>
  </si>
  <si>
    <t>SEMAFONE | VPN | 167.98.51.117 | SHEA</t>
  </si>
  <si>
    <t>storagetek</t>
  </si>
  <si>
    <t>129.80.224.14</t>
  </si>
  <si>
    <t>3/4 at 12:59pm - Sean Bradley confirmed storagetek doesnt exist anymore. Previously used for tape libraries</t>
  </si>
  <si>
    <t>STORAGETEK | VPN | 129.80.224.14 | SHEA</t>
  </si>
  <si>
    <t>Crypto ACL: Outside_cryptomap_79
Cipher: ESP-3DES-SHA
PFS Group: None
SA Lifetime: Default
Partner Side ARIN: Oracle Corporation —</t>
  </si>
  <si>
    <t>Taylor</t>
  </si>
  <si>
    <t>208.99.255.3</t>
  </si>
  <si>
    <t>Michael Weisse - mike.weisse@baystatehealth.org - 413-794-3802</t>
  </si>
  <si>
    <t>TAYLOR | VPN | 208.99.255.3 | SHEA</t>
  </si>
  <si>
    <t>TCS</t>
  </si>
  <si>
    <t>121.242.62.5</t>
  </si>
  <si>
    <t>Betty Dias - Elizabeth.Dias@CVSHealth.com - 401-770-6602</t>
  </si>
  <si>
    <t>VIKAS PHOGAT &lt;vikas.phogat@tcs.com&gt; -  9971793557 - +91 124 6214732</t>
  </si>
  <si>
    <t>TCS | VPN | 121.242.62.5 | SHEA</t>
  </si>
  <si>
    <t>TCS offshore</t>
  </si>
  <si>
    <t>203.199.242.244</t>
  </si>
  <si>
    <t>Aby Abraham - aby.abraham@cvshealth.com - 224-808-2340</t>
  </si>
  <si>
    <t>TCS - Prasanna.Subramanian@CVSHealth.com</t>
  </si>
  <si>
    <t>TCS OFFSHORE | VPN | 203.199.242.244 | SHEA</t>
  </si>
  <si>
    <t>TCS_Bhuvneshwar</t>
  </si>
  <si>
    <t>14.141.110.87</t>
  </si>
  <si>
    <t>Sreelata Jayasekharan - Sreelata.Jayasekharan@CVSHealth.com - 847-484-9276</t>
  </si>
  <si>
    <t>1/15 at 1:55pm
2/9 at 4:49pm
3/5 at 4:12pm - follow up and app info request</t>
  </si>
  <si>
    <t>2/9 at 11:27pm - Indicated she's not the correct contact; added Sanjeev Kumar (SanjeevK.Kumar@CVSHealth.com) to help</t>
  </si>
  <si>
    <t>sanjeevk.kumar@cvshealth.com</t>
  </si>
  <si>
    <t>TCS_BHUVNESHWAR | VPN | 14.141.110.87 | SHEA</t>
  </si>
  <si>
    <t>Marked as decom on 5/4/26 due to no response from POCs and Firewall Ops team indicating there is no VPN tunnel anymore.</t>
  </si>
  <si>
    <t>TCS_MX</t>
  </si>
  <si>
    <t>189.211.77.214</t>
  </si>
  <si>
    <t>VIKAS PHOGAT &lt;vikas.phogat@tcs.com&gt;</t>
  </si>
  <si>
    <t>TCS_MX | VPN | 189.211.77.214 | Shea</t>
  </si>
  <si>
    <t>tcs-cincinnati</t>
  </si>
  <si>
    <t>208.44.114.171</t>
  </si>
  <si>
    <t>Timothy Tornee - Timothy.Tornee@CVSHealth.com - 480-391-4160
Aju Paul - aju.paul@caremark.com - 480-707-6747</t>
  </si>
  <si>
    <t>John Kauck - john.kauck@caremark.com - 847 559 4989 | BB: 847 975 7085
Vandita Kalia</t>
  </si>
  <si>
    <t>TCS-CINCINNATI | VPN | 208.44.114.171 | SHEA</t>
  </si>
  <si>
    <t>208.44.114.176</t>
  </si>
  <si>
    <t>Aju Paul - aju.paul@caremark.com - 401-636-9846
Sameer Sachdeva - sameer.sachdeva2@cvscaremark.com - 401-770-6145</t>
  </si>
  <si>
    <t>John Kauck - john.kauck@caremark.com - 847 559 4989 | BB: 847 975 7085
Vandita Kalia"</t>
  </si>
  <si>
    <t>TCS-CINCINNATI | VPN | 208.44.114.176 | SHEA</t>
  </si>
  <si>
    <t>tcs-gurgaon</t>
  </si>
  <si>
    <t>14.140.202.27</t>
  </si>
  <si>
    <t>d</t>
  </si>
  <si>
    <t>TCS-GURGAON | VPN | 14.140.202.27 | SHEA</t>
  </si>
  <si>
    <t>tcs-gurgeon</t>
  </si>
  <si>
    <t>115.113.253.34</t>
  </si>
  <si>
    <t>Aman Dagwar - aman.dagwar@cvshealth.com - 401-770-5680</t>
  </si>
  <si>
    <t>Sachin Singh Contact: 401-533-8063</t>
  </si>
  <si>
    <t>TCS-GURGEON | VPN | 115.113.253.34 | SHEA</t>
  </si>
  <si>
    <t>TCS-SAP</t>
  </si>
  <si>
    <t>208.44.114.154</t>
  </si>
  <si>
    <t>Aju Paul - aju.paul@caremark.com
Sameer Sachadev - sameer.sachadeva2@cvscaremark.com - 401-770-6145</t>
  </si>
  <si>
    <t>Vandita Kalia
Sachin Singh    Contact: 401-533-8063</t>
  </si>
  <si>
    <t>TCS-SAP | VPN | 208.44.114.154 | SHEA</t>
  </si>
  <si>
    <t xml:space="preserve">e911 to LA                            </t>
  </si>
  <si>
    <t xml:space="preserve">208.71.176.2   </t>
  </si>
  <si>
    <t>Richard Steves -  StevensJrR@AETNA.com
Tefe Jakova - JakovaT@aetna.com</t>
  </si>
  <si>
    <t>Frank Killen -  frank.killen@intrado.com</t>
  </si>
  <si>
    <t>E911 TO LA | VPN | WIN-FW-VPN1 | 208.71.176.2 | WDC</t>
  </si>
  <si>
    <t>edifecs_datamart</t>
  </si>
  <si>
    <t>66.118.13.132</t>
  </si>
  <si>
    <t>EDIFECS_DATAMART | VPN | WIN-FW-VPN1 | 66.118.13.132 | WDC</t>
  </si>
  <si>
    <t>eLoyalty2</t>
  </si>
  <si>
    <t>168.215.186.43</t>
  </si>
  <si>
    <t>Kanas, John W &lt;kanasjw@cvshealth.com&gt; / Inman, Brian &lt;bcinman@cvshealth.com&gt;</t>
  </si>
  <si>
    <t>support@eloyalty.com Subreina_jones@eloyalty.com</t>
  </si>
  <si>
    <t>SNMP, Echo to voice servers mvmpuceivrzap01.aeth.aetna.com mvmpuceivrzap02.aeth.aetna.com mvmpuceivrzap03.aeth.aetna.com etc</t>
  </si>
  <si>
    <t>ELOYALTY2 | VPN | WIN-FW-VPN2 | 168.215.186.43 | WDC</t>
  </si>
  <si>
    <t>TELADOC</t>
  </si>
  <si>
    <t>192.196.243.2</t>
  </si>
  <si>
    <t xml:space="preserve">12/19 at 11:51am
2/5 at 5:03pm
4/27 at 11:30am - Initial reach out to partner contact
</t>
  </si>
  <si>
    <t>2/5 at 5:14pm - Kelly Straub is not the correct. She does not know who to reach out to.
4/27 at 3:34pm - No need of the connectivity - decommissioned</t>
  </si>
  <si>
    <t>Maylin Peterson &lt;mpeterson@teladoc.com&gt;
Rajneesh Goyal &lt;rgoyal@teladoc.com&gt;
Douglas Maguire &lt;dmaguire@teladoc.com&gt; (No longer with Teladoc)</t>
  </si>
  <si>
    <t>TELADOC | VPN | 192.196.243.2 | SHEA</t>
  </si>
  <si>
    <t xml:space="preserve">"CVS Health terminated the contract with Teladoc Health so there should be no need of the connectivity."
Crypto ACL: Outside_cryptomap_49
Cipher: ESP-AES-128-SHA, ESP-AES-128-MD5
PFS Group: None
SA Lifetime: Default
Partner Side ARIN: CyrusOne LLC </t>
  </si>
  <si>
    <t>TELEPERFORMANCE(IGS-121)</t>
  </si>
  <si>
    <t>149.97.235.132</t>
  </si>
  <si>
    <t>4/27 at 11:34am - Initial email to partner contacts (email not delivered to either of the contacts)</t>
  </si>
  <si>
    <t xml:space="preserve">Lawrence Reinholt - jay.reinholt@teleperformance.com - (480) 492-7149 (email invalid)
Vishal Renake  - Vishal.Renake@teleperformancedibs.com (email invalid)
Jay Reinholt  - jay.reinholt@teleperformance.com - +1 757 389 2313 </t>
  </si>
  <si>
    <t>TELEPERFORMANCE(IGS-121) | VPN | 149.97.235.132 | SHEA</t>
  </si>
  <si>
    <t>trizetto-albuquerque</t>
  </si>
  <si>
    <t>67.148.197.4</t>
  </si>
  <si>
    <t>Frida Maritza Benavides - benavidesF@aetna.com;
Dolce, Robert E - dolceR1@aetna.com
Sevchik, Melissa K - sevchikM@aetna.com</t>
  </si>
  <si>
    <t>1/15 at 1:15pm
1/15 at 1:44pm - Reached out to new POCs
3/5 at 2:45pm - Follow up and app info request
4/29 at 2:44pm - Initial partner contact outreach (email not delivered)</t>
  </si>
  <si>
    <t>1/15 at 1:20pm - Suggests reaching out to Manjusha Nair or Gregory Krause.</t>
  </si>
  <si>
    <t>Anand.Gopalakrishnan@cognizant.com (Email invalid)</t>
  </si>
  <si>
    <t>TRIZETTO-ALBUQUERQUE | VPN | 67.148.197.4 | SHEA</t>
  </si>
  <si>
    <t>As of 5/6: Firewall ops confirmed no tunnel exists for this connection; marking as decom</t>
  </si>
  <si>
    <t>end-game</t>
  </si>
  <si>
    <t>70.88.47.61</t>
  </si>
  <si>
    <t>END-GAME | VPN | WIN-FW-VPN2 | 70.88.47.61 | WDC</t>
  </si>
  <si>
    <t>end-game2</t>
  </si>
  <si>
    <t>DR/Active as of Jan 2025</t>
  </si>
  <si>
    <t xml:space="preserve">32.223.192.5 </t>
  </si>
  <si>
    <t>END-GAME2 | VPN | WIN-FW-VPN2 | 32.223.192.5 | WDC</t>
  </si>
  <si>
    <t>envision-edi</t>
  </si>
  <si>
    <t>209.221.23.194</t>
  </si>
  <si>
    <t>Patrick Kelley</t>
  </si>
  <si>
    <t>jsellers@envisionrx.com</t>
  </si>
  <si>
    <t xml:space="preserve">Aetna EDI </t>
  </si>
  <si>
    <t>ENVISION-EDI | VPN | WIN-FW-VPN2 | 209.221.23.194 | WDC</t>
  </si>
  <si>
    <t>equian</t>
  </si>
  <si>
    <t>161.249.144.108</t>
  </si>
  <si>
    <t>Michele Kurdes -KurdesM@AETNA.com
Jaylynn Keener - KeenerJ@aetna.com</t>
  </si>
  <si>
    <t>6/1 - Initial CVS outreach</t>
  </si>
  <si>
    <t>6/2 at 7:37am - Added correct POCs: KurdesM@AETNA.com and KeenerJ@aetna.com.
6/2 at 8:59am - Jaylynn confirmed we can term the B2B connections. This might mean the connections are still active but need to be decom'ed.</t>
  </si>
  <si>
    <t>EQUIAN | VPN | WIN-FW-VPN1 | 161.249.144.108 | WDC</t>
  </si>
  <si>
    <t>trizetto-highlands-ranch</t>
  </si>
  <si>
    <t>63.76.216.4</t>
  </si>
  <si>
    <t>TRIZETTO-HIGHLANDS-RANCH | VPN | 63.76.216.4 | SHEA</t>
  </si>
  <si>
    <t>UAIC</t>
  </si>
  <si>
    <t>12.41.196.101</t>
  </si>
  <si>
    <t>Miglena Petrova - miglena.petrova@cvshealth.com</t>
  </si>
  <si>
    <t>Jay Urish - 972-569-4018</t>
  </si>
  <si>
    <t>UAIC | VPN | 12.41.196.101 | SHEA</t>
  </si>
  <si>
    <t>universal-american</t>
  </si>
  <si>
    <t>207.54.145.2</t>
  </si>
  <si>
    <t>Joshua Weirick - joshua.weirick@cvshealth.com</t>
  </si>
  <si>
    <t>1/15 at 2:05pm</t>
  </si>
  <si>
    <t>1/15 at 2:19pm - The client termed a couple of years ago so decomissioned</t>
  </si>
  <si>
    <t>UNIVERSAL-AMERICAN | VPN | 207.54.145.2 | SHEA</t>
  </si>
  <si>
    <t xml:space="preserve">Crypto ACL: Outside_cryptomap_26
Cipher: ESP-AES-256-SHA
PFS Group: None
SA Lifetime: 1h
Partner Side ARIN: Expedient </t>
  </si>
  <si>
    <t>universal-american-atlanta</t>
  </si>
  <si>
    <t>204.250.15.8</t>
  </si>
  <si>
    <t>UNIVERSAL-AMERICAN-ATLANTA | VPN | 204.250.15.8 | SHEA</t>
  </si>
  <si>
    <t>Crypto ACL: Outside_cryptomap_78
Cipher: ESP-AES-256-SHA
PFS Group: None
SA Lifetime: 1h
Partner Side ARIN: Cogent Communications, LLC</t>
  </si>
  <si>
    <t>wellcare</t>
  </si>
  <si>
    <t>64.118.182.13</t>
  </si>
  <si>
    <t>Rhandy Figueroa and Daniel Taylor</t>
  </si>
  <si>
    <t>1/13 at 3:08 PM</t>
  </si>
  <si>
    <t>Richard Boogher - Richard.boogher@wellcare.com / sri.dasari@wellcare.com - 813-206-7260; Reynold J. Morris &lt;Reynold.J.Morris@CENTENE.com&gt;; Stephen A. Hollidge &lt;stephen.hollidge@CENTENE.com&gt;; Michael G. Kondo &lt;Michael.G.Kondo@CENTENE.COM&gt;; Kim M. White &lt;Kim.M.White@CENTENE.COM&gt;</t>
  </si>
  <si>
    <t>WELLCARE | VPN | 64.118.182.13 | SHEA</t>
  </si>
  <si>
    <t>wellpartner</t>
  </si>
  <si>
    <t>70.98.246.3</t>
  </si>
  <si>
    <t>WELLPARTNER | VPN | 70.98.246.3 | SHEA</t>
  </si>
  <si>
    <t>wipro</t>
  </si>
  <si>
    <t>203.91.205.5</t>
  </si>
  <si>
    <t>JT MacMannis</t>
  </si>
  <si>
    <t>1/29 at 8:44am - Looped in Brian Hebert and Ed Beauregard and asked what applications these are associated to as they haven't worked with wipro in over 10 years.</t>
  </si>
  <si>
    <t>Nitin Argal - nitin.argal@wipro.com - +91 9902017354
Biren - birendra.prasad@wipro.com - +1 469 563 7847</t>
  </si>
  <si>
    <t>WIPRO | VPN | 203.91.205.5 | SHEA</t>
  </si>
  <si>
    <t>Marking as decommissioned as the client has not been worked with in over 10 years.</t>
  </si>
  <si>
    <t>wipro_coimbatore</t>
  </si>
  <si>
    <t>203.91.195.5</t>
  </si>
  <si>
    <t>WIPRO_COIMBATORE | VPN | 203.91.195.5 | SHEA</t>
  </si>
  <si>
    <t>wipro-atlanta</t>
  </si>
  <si>
    <t>12.70.33.25</t>
  </si>
  <si>
    <t>Brian Lamothe - Brian.Lamothe@cvshealth.com - 401-770-4364</t>
  </si>
  <si>
    <t>1/28 at 1:37pm</t>
  </si>
  <si>
    <t>1/29 at 8:44am - Looped in Brian Hebert and Ed Beauregard and asked what applications these are associated to as they havent worked with wipro in over 10 years.</t>
  </si>
  <si>
    <t>WIPRO-ATLANTA | VPN | 12.70.33.25 | SHEA</t>
  </si>
  <si>
    <t>12.70.33.42</t>
  </si>
  <si>
    <t>WIPRO-ATLANTA | VPN | 12.70.33.42 | SHEA</t>
  </si>
  <si>
    <t>wipro-chennai</t>
  </si>
  <si>
    <t>203.91.205.203</t>
  </si>
  <si>
    <t>WIPRO-CHENNAI | VPN | 203.91.205.203 | SHEA</t>
  </si>
  <si>
    <t>Likely decommissioned</t>
  </si>
  <si>
    <t>WiproPune</t>
  </si>
  <si>
    <t>203.91.213.126</t>
  </si>
  <si>
    <t>Nitin Argal - nitin.argal@wipro.com - +91 9902017354
Biren - birendra.prasad@wipro.com - +1 469 563 7847
Johnson M. Irungu -  jirungu@lenovo.com - 678 932-4440; Cell: 404 735-2321</t>
  </si>
  <si>
    <t>WIPROPUNE | VPN | 203.91.213.126 | SHEA</t>
  </si>
  <si>
    <t>WIPRO-TAMPA</t>
  </si>
  <si>
    <t>159.113.204.4</t>
  </si>
  <si>
    <t>Ankit D Shah - Ankit.Shah3@CVSHealth.com - 4804322252 -- Ankit moved to a different team. Not correct but not sure who is correct.</t>
  </si>
  <si>
    <t>janette.berger@cvshealth.com</t>
  </si>
  <si>
    <t>WIPRO-TAMPA | VPN | 159.113.204.4 | SHEA</t>
  </si>
  <si>
    <t>Wolfram</t>
  </si>
  <si>
    <t>140.177.204.79</t>
  </si>
  <si>
    <t>Prahalad Athreya - prahalad.athreya@cvshealth.com - 401-772-8218</t>
  </si>
  <si>
    <t xml:space="preserve">	
Eve Paul -  217-398-0700, extension 5556 - evep@wolfram.com</t>
  </si>
  <si>
    <t>WOLFRAM | VPN | 140.177.8.79 | SHEA</t>
  </si>
  <si>
    <t>workcomprx</t>
  </si>
  <si>
    <t>67.122.134.2</t>
  </si>
  <si>
    <t>Charlotte M Wojnowski - charlotte.wojnowski@cvshealth.com - 847-484-8431
Clint Collins - clinton.collins@cvshealth.com</t>
  </si>
  <si>
    <t>Chris Wells IT Services Supervisor (866) 846-9279 phone
Paul Morton paulm@hdtech.com</t>
  </si>
  <si>
    <t>WORKCOMPRX | VPN | 67.122.134.2 | SHEA</t>
  </si>
  <si>
    <t>MedHok AWS</t>
  </si>
  <si>
    <t>Gerace, Francis K. &lt;Ken.Gerace@CVSHealth.com&gt;
Hessefort, Keith &lt;Keith.Hessefort@CVSHealth.com&gt;</t>
  </si>
  <si>
    <t>Kenneth Hessefort Keith.Hessefort@CVSHealth.com</t>
  </si>
  <si>
    <t>MEDHOK AWS | MPLS | RI</t>
  </si>
  <si>
    <t>5/6: Status confirmed by Kartheek Cheenepali as part of Firewall team migrations (scheduled for firewall migration not colo migration) - Scheduled for migration in June timeframe</t>
  </si>
  <si>
    <t>BCBS-VT</t>
  </si>
  <si>
    <t>64.30.14.130</t>
  </si>
  <si>
    <t>Craighead, Ellen M. &lt;Ellen.Craighead@CVSHealth.com&gt;</t>
  </si>
  <si>
    <t>1/30 at 10:13am
2/11 at 2:57pm
4/28 at 3:49pm - Initial partner outreach</t>
  </si>
  <si>
    <t>2/11 at 4:08pm - Ellen is not the correct contact and does not know who is
4/29 at 7:39am - Not a BCBSMA connection. Contact BCBS-VT</t>
  </si>
  <si>
    <t>BCBS-VT | VPN | 64.30.14.130 | SHEA</t>
  </si>
  <si>
    <t>Blue Cross Blue Shield of Vermont
Crypto ACL: Outside_cryptomap_122
Cipher: ESP-AES-256-SHA
PFS Group: None
SA Lifetime: 1h</t>
  </si>
  <si>
    <t>67.217.115.178</t>
  </si>
  <si>
    <t>BCBS-VT | VPN | 67.217.115.178 | SHEA</t>
  </si>
  <si>
    <t>Blue Cross Blue Shield of Vermont
Crypto ACL: Outside_cryptomap_123
Cipher: ESP-AES-128-SHA, ESP-AES-128-MD5
PFS Group: None
SA Lifetime: 1h</t>
  </si>
  <si>
    <t>CVS-AcceIQ</t>
  </si>
  <si>
    <t>103.60.213.36</t>
  </si>
  <si>
    <t>1/15 at 3:00pm
2/10 at 10:41am
4/29 at 11:11am - Initial partner contact outreach</t>
  </si>
  <si>
    <t>2/11 at 8:04am - Added Moazzam.Lodhi@CVSHealth.com to the email
2/11 at 11:21am - Lodhi Moazzam replied back verifying the NICE instances but could not verify this AcceIQ instance as it's not part of the same partner connection</t>
  </si>
  <si>
    <t>deepti.n@accelq.com</t>
  </si>
  <si>
    <t>CVS-ACCEIQ | VPN | 103.60.213.36 | SHEA</t>
  </si>
  <si>
    <t>cigna</t>
  </si>
  <si>
    <t>170.48.8.53</t>
  </si>
  <si>
    <t>Bo Duong - Bo.Duong@CVSHealth.com - not the correct contact</t>
  </si>
  <si>
    <t>3/16 at 12:30pm - initial outreach and app info request
3/17 at 2:53pm - Parsia replied back asking if he knows about a contact that can help us
4/29 at 9:52am - Initial partner contact outreach</t>
  </si>
  <si>
    <t>3/16 at 1:38pm - Not the correct contact</t>
  </si>
  <si>
    <t>Brown, Donald  (CTR) &lt;Donald.Brown@evernorth.com&gt;</t>
  </si>
  <si>
    <t>CIGNA | VPN | 170.48.8.53 | PDX</t>
  </si>
  <si>
    <t>Crypto ACL: Outside_cryptomap_67
Cipher: ESP-3DES-SHA
PFS Group: None
SA Lifetime: Default</t>
  </si>
  <si>
    <t>DELOITTE_SUWANEE</t>
  </si>
  <si>
    <t>167.219.0.177</t>
  </si>
  <si>
    <t>1/28 at 2:19pm
4/29 at 1:26pm - Initial partner contact outreach</t>
  </si>
  <si>
    <t>Keely Resing - kresing@deloitte.com - 312-438-7482
Brad Bacci - bbacci@deloitte.com - 866-806-4997</t>
  </si>
  <si>
    <t>DELOITTE_SUWANEE | VPN | 167.219.0.177 | SHEA</t>
  </si>
  <si>
    <t>Group Policy: Deloitte_GrpPolicy
Crypto ACL: deloitte_vdi
Cipher: AES256-SHA256
PFS Group: group19
SA Lifetime: 1d
Partner Side ARIN: Deloitte Services LP</t>
  </si>
  <si>
    <t>DICE</t>
  </si>
  <si>
    <t>198.98.14.3</t>
  </si>
  <si>
    <t>1/7 at 10:23am
4/29 at 10:22am - Initial partner contact email</t>
  </si>
  <si>
    <t xml:space="preserve">1/7 at 11:26am - she believes email was sent to her in error </t>
  </si>
  <si>
    <t>Joshua Arthur - hardware@dicecorp.com - 989-891-2800-X 2</t>
  </si>
  <si>
    <t>DICE | VPN | 198.98.14.3 | SHEA</t>
  </si>
  <si>
    <t>Crypto ACL: DICE_AZ_Enclave
Cipher: AES256-SHA256
PFS Group: group14
SA Lifetime: 1h</t>
  </si>
  <si>
    <t>204.99.19.23 (OLD ASA Device),204.99.19.73(Migrated Config to new FTD device),206.213.209.29</t>
  </si>
  <si>
    <t>DELOITTE_SUWANEE | VPN | 167.219.88.145 | PDX</t>
  </si>
  <si>
    <t>Crypto ACL: DELOITTE_SUWANEE_A
Cipher: AES256-SHA256
PFS Group: group19
SA Lifetime: 8h</t>
  </si>
  <si>
    <t>incomm</t>
  </si>
  <si>
    <t>199.168.255.150</t>
  </si>
  <si>
    <t>Sara Mahan</t>
  </si>
  <si>
    <t>4/24 at 1:59pm - initial email</t>
  </si>
  <si>
    <t>aminter@incomm.com</t>
  </si>
  <si>
    <t>INCOMM | VPN | 199.168.255.150 | SHEA</t>
  </si>
  <si>
    <t>Crypto ACL: Outside_cryptomap_144
Cipher: ESP-AES-256-SHA
PFS Group: None
SA Lifetime: Default</t>
  </si>
  <si>
    <t>ePA</t>
  </si>
  <si>
    <t>65.118.247.6</t>
  </si>
  <si>
    <t>John Simon -john.simon@cvshealth.com - 480-314-8640</t>
  </si>
  <si>
    <t>12/18 5:31pm
4/29 at 11:14am - Initial partner contact outreach</t>
  </si>
  <si>
    <t xml:space="preserve">Jim Nofsinger - JNofsinger@covermymeds.com
Chip Burke  - cburke@covermymeds.com - 614  360  1725   </t>
  </si>
  <si>
    <t>EPA | VPN | 65.118.247.6 | PDX</t>
  </si>
  <si>
    <t>Crypto ACL: Outside_cryptomap_149
Cipher: ESP-AES-256-SHA
PFS Group: None
SA Lifetime: 1h</t>
  </si>
  <si>
    <t>Equian</t>
  </si>
  <si>
    <t>209.43.100.54</t>
  </si>
  <si>
    <t>Carl Duvall - cduvall@equian.com/NOC - 502-214-1109</t>
  </si>
  <si>
    <t>EQUIAN | VPN | WIN-FW-VPN1 | 209.43.100.54 | WDC</t>
  </si>
  <si>
    <t>esi-primary</t>
  </si>
  <si>
    <t>167.18.49.254</t>
  </si>
  <si>
    <t>Karen Hurlbut /Patrick Kelley</t>
  </si>
  <si>
    <t>6/3 at 11:45am - ExpressScript was used specifically for ExxonMobil (terminated 12/31/24). As a result, this connection is no longer needed.</t>
  </si>
  <si>
    <t>EOCCEventManagement@express-scripts.com/CDHOutageNotification@express-scripts.com/robert_violante@express-scripts.com/sibals@express-scripts.com</t>
  </si>
  <si>
    <t>ESI-PRIMARY | VPN | MID-FW-VPN2 | 167.18.49.254 | MDC</t>
  </si>
  <si>
    <t>6/3: Mark as decom as the supporting sponsor (Exxon) has termed. Connection may have to go through proper decom process.
CVS owners don't exist.  Validate with esi-secondary folks to see if they have understanding of connection.  Otherwise status = decom</t>
  </si>
  <si>
    <t>healthnet</t>
  </si>
  <si>
    <t>204.107.52.50</t>
  </si>
  <si>
    <t>John Simon -john.simon@cvshealth.com - 480-314-8640 (Not the correct POC)</t>
  </si>
  <si>
    <t>12/18 5:31pm
1/6 - Followed up asking for correct contacft
4/29 at 10:31am - Initial partner contact outreach</t>
  </si>
  <si>
    <t xml:space="preserve">1/2 at 11:32am - John Simon is not the primary contact. </t>
  </si>
  <si>
    <t xml:space="preserve">Martin LunBeck - martin.lunbeck@healthnet.com - 916.935.1899
Daniel Gragg - daniel.x.gragg@healthnet.com - 520-258-5220; </t>
  </si>
  <si>
    <t>HEALTHNET | VPN | 204.107.52.50 | PDX</t>
  </si>
  <si>
    <t>Crypto ACL: Outside_cryptomap_8
Cipher: ESP-AES-256-SHA
PFS Group: None
SA Lifetime: 1h</t>
  </si>
  <si>
    <t>humana</t>
  </si>
  <si>
    <t>205.145.108.10</t>
  </si>
  <si>
    <t>Lars Sorensen - Lars.Sorensen@CVSCaremark.com - 847-343-2214 (no longer at CVS)</t>
  </si>
  <si>
    <t>4/28 at 4:09pm - Initial partner contact outreach</t>
  </si>
  <si>
    <t>JBurt1@humana.com - AFulcher1@humana.com</t>
  </si>
  <si>
    <t>HUMANA | VPN | 205.145.108.10 | PDX</t>
  </si>
  <si>
    <t>Crypto ACL: Outside_cryptomap_6
Cipher: ESP-AES-256-SHA
PFS Group: None
SA Lifetime: 1h</t>
  </si>
  <si>
    <t>ProtectionOne</t>
  </si>
  <si>
    <t>12.147.152.4</t>
  </si>
  <si>
    <t>4/24 at 11:41pm - initial email</t>
  </si>
  <si>
    <t>ADRONEY@ADT.COM</t>
  </si>
  <si>
    <t>PROTECTIONONE | VPN | 12.147.152.4 | SHEA</t>
  </si>
  <si>
    <t>Crypto ACL: Outside_cryptomap_152
Cipher: ESP-AES-256-SHA
PFS Group: None
SA Lifetime: 1h</t>
  </si>
  <si>
    <t>TCS_Bangalore</t>
  </si>
  <si>
    <t>203.145.176.70</t>
  </si>
  <si>
    <t>VIKAS PHOGAT - vikas.phogat@tcs.com - Ph:- +91 124 6214732 - Cell:- 9971793557</t>
  </si>
  <si>
    <t>4/27 at 11:45am - Initial email to partner contact</t>
  </si>
  <si>
    <t>Animesh Kumar, PMP, SAFe®|
Tata Consultancy Services, Bangalore - 560066 |
animesh1.kumar@tcs.com | Animesh.Kumar@CVSHealth.com | (+91) 8904038523(M)</t>
  </si>
  <si>
    <t>TCS_BANGALORE | VPN | 115.112.63.250 | SHEA</t>
  </si>
  <si>
    <t>Group Policy: TCS_Bangalore
Crypto ACL: CVS_TCS_Bangalore_2
Cipher: AES256-SHA256
PFS Group: group14
SA Lifetime: Default
Partner Side ARIN: Network Administrator</t>
  </si>
  <si>
    <t>115.112.63.250</t>
  </si>
  <si>
    <t>TCS_BANGALORE | VPN | 203.145.176.70 | SHEA</t>
  </si>
  <si>
    <t>Group Policy: TCS_Bangalore
Crypto ACL: CVS_TCS_Bangalore_1
Cipher: AES256-SHA256
PFS Group: group21
SA Lifetime: Default
Partner Side ARIN: IRT-TATACOMM-IN</t>
  </si>
  <si>
    <t>eLoyalty</t>
  </si>
  <si>
    <t>216.141.75.181</t>
  </si>
  <si>
    <t>Paulette S. Mudrey - paulette.mudrey@cvshealth.com - 614-652-3224</t>
  </si>
  <si>
    <t>1/7 at 11:36am
2/10 at 1:44pm
4/28 at 3:16pm - Reached out to partner contact</t>
  </si>
  <si>
    <t>Network Infrastructure Operations - CTSInfrastructureOperations@teletech.com
Phone Number: 1 866 927 7478</t>
  </si>
  <si>
    <t>ELOYALTY | VPN | 216.141.75.181 | SHEA</t>
  </si>
  <si>
    <t>Group Policy: DfltGrpPolicy
Crypto ACL: ELOYAL
Cipher: ESP-AES-256-SHA
PFS Group: None
SA Lifetime: 8h
Partner Side ARIN: Aetna, Inc.</t>
  </si>
  <si>
    <t>TCS_CANADA</t>
  </si>
  <si>
    <t>207.219.158.36</t>
  </si>
  <si>
    <t>4/28 at 4:11pm - Initial partner contact outreach</t>
  </si>
  <si>
    <t>TCS_CANADA | VPN | 207.219.158.36 | PDX</t>
  </si>
  <si>
    <t>Crypto ACL: TCS_CANADA_TUNNEL
Cipher: ESP-AES-256-SHA
PSF Group: None
SA Lifetime: 8h</t>
  </si>
  <si>
    <t>esi-secondary</t>
  </si>
  <si>
    <t>167.18.24.1</t>
  </si>
  <si>
    <t>Verlisa Mcatee / Harbert, Paula K &lt;harbertp@aetna.com&gt; /Garberina Jr, Thomas J/Romano, Stephen &lt;romanos@cvshealth.com&gt;</t>
  </si>
  <si>
    <t>EOCCEventManagement@express-scripts.com CDHOutageNotification@express-scripts.com robert_violante@express-scripts.com Sue Sibal sibals@express-scripts.com</t>
  </si>
  <si>
    <t>ESI-SECONDARY | VPN | WIN-FW-VPN2 | 167.18.24.1 | WDC</t>
  </si>
  <si>
    <t>6/3: Mark as decom as the supporting sponsor (Exxon) has termed. Connection may have to go through proper decom process.</t>
  </si>
  <si>
    <t>win-ds-l2-edmz-1 1/0/13</t>
  </si>
  <si>
    <t>EXL</t>
  </si>
  <si>
    <t>Ready for Migration</t>
  </si>
  <si>
    <t>206.213.208.118</t>
  </si>
  <si>
    <t xml:space="preserve">Gutierrez, Theresa &lt;GutierrezT@cvshealth.com&gt;; Yeh, Kathleen K &lt;YehKK@cvshealth.com&gt;      </t>
  </si>
  <si>
    <t>5/6 Theresa Gutierrez replied back and gave updated information from the partner</t>
  </si>
  <si>
    <t>Gregory.Weeks@exlservice.com
Tapan.KumarDutta@exlservice.com
Dinesh.Kumar6@exlservice.com
Rubia.Rendon@exlservice.com
Kenneth.Castillo@exlservice.com
Nitin.Verma2@exlservice.com
Alok.Shori@exlservice.com eNOCSupport@exlservice.com;
eNOCL2-Network@exlservice.com;
eNOCL2-Voice@exlservice.com 
Chetankumar.Sharma@exlservice.com;
Joelson.Apon@exlservice.com;
J.Baluyut@exlservice.com</t>
  </si>
  <si>
    <t>Inbound and Oubound SIP Voice traffic</t>
  </si>
  <si>
    <t>SIP Voice traffic between EXL SBC and Aetna SBCs</t>
  </si>
  <si>
    <t>N53</t>
  </si>
  <si>
    <t>ASR1001</t>
  </si>
  <si>
    <t>verizon Business DS3
dmarc pos3
dsx3 n69 slot9</t>
  </si>
  <si>
    <t>Have not received any emails on Sunday…..Amit Bijalwan Amit.bijalwan@exlservice.com</t>
  </si>
  <si>
    <t>Vendor to Aetna</t>
  </si>
  <si>
    <t>EXL | MPLS | MID-DS-L3-EDMZ-1 1/0/12 (ROUTER1) 2/0/7 (ROUTER2) | HSRP 206.213.202.186 EXL RTR 1 206.213.202.187 EXL RTR 2 206.213.202.188 | MDC</t>
  </si>
  <si>
    <t>review attachment in Kanban for SBC Details, SBC Mgmt IP, External Media, etc. recieved by the vendor</t>
  </si>
  <si>
    <t>Mid-ds-L3-EDMZ-1 1/0/12 (router1) 2/0/7 (router2)</t>
  </si>
  <si>
    <t>HSRP 206.213.202.186  EXL rtr 1 206.213.202.187  EXL rtr 2 206.213.202.188</t>
  </si>
  <si>
    <t xml:space="preserve">Gutierrez, Theresa &lt;GutierrezT@cvshealth.com&gt;; Yeh, Kathleen K &lt;YehKK@cvshealth.com&gt;   </t>
  </si>
  <si>
    <t>Inbound and Outbound SIP Voice traffic</t>
  </si>
  <si>
    <t>N40</t>
  </si>
  <si>
    <t xml:space="preserve">ASR1001  mid-l3-exl-wan-1 </t>
  </si>
  <si>
    <t>AGEC800547</t>
  </si>
  <si>
    <t>phone patch3A-910</t>
  </si>
  <si>
    <t>EXL | MPLS | WIN-DS-L2-EDMZ-1 1/0/13 | 206.213.208.118 | WDC</t>
  </si>
  <si>
    <t>EXL-chennai</t>
  </si>
  <si>
    <t>61.12.33.68</t>
  </si>
  <si>
    <t xml:space="preserve">Breton, Neal / McGuirl, Margaret M </t>
  </si>
  <si>
    <t>6/3 at 11:07am - Added Kelly Jack and Daniel Smith to help
6/3 at 12:33pm - Added Dan Capozzo to help</t>
  </si>
  <si>
    <t>Rubia.Rendon@exlservice.com/Saurabh.Sharma6@exlservice.com/eNOCSupport@exlservice.com/Sanjay.Kurkute2@exlservice.com</t>
  </si>
  <si>
    <t>EXL-CHENNAI | VPN | WIN-FW-VPN2 | 61.12.33.68 | WDC</t>
  </si>
  <si>
    <t>merwin</t>
  </si>
  <si>
    <t>MERWIN | MPLS | RI</t>
  </si>
  <si>
    <t>5/6: Status confirmed by Kartheek Cheenepali as part of Firewall team migrations (scheduled for firewall migration not colo migration) - Communication ongoing with vendors, scheduled for decom</t>
  </si>
  <si>
    <t>EXL-chennai-secondary</t>
  </si>
  <si>
    <t>182.19.48.94</t>
  </si>
  <si>
    <t>EXL-CHENNAI-SECONDARY | VPN | WIN-FW-VPN1 | 182.19.48.94 | WDC</t>
  </si>
  <si>
    <t>exl-inductis2</t>
  </si>
  <si>
    <t>121.241.119.244</t>
  </si>
  <si>
    <t>EXL-INDUCTIS2 | VPN | MID-FW-VPN2 | 121.241.119.244 | MDC</t>
  </si>
  <si>
    <t>EXL-secondary-chennai</t>
  </si>
  <si>
    <t>115.112.102.249</t>
  </si>
  <si>
    <t>EXL-SECONDARY-CHENNAI | VPN | WIN-FW-VPN1 | 115.112.102.249 | WDC</t>
  </si>
  <si>
    <t>ExxonMobil</t>
  </si>
  <si>
    <t>158.35.254.112</t>
  </si>
  <si>
    <t>Aguirre, Laura Y//Carlton, Clint S</t>
  </si>
  <si>
    <t>6/3 at 12:17pm - ExxonMobil is a termed customer as of 1/1/25 but not sure the state of the connections. Added Paul Martinez to help.</t>
  </si>
  <si>
    <t>gis.external.connection.requests@exxonmobil.com/brian.y.wang@exxonmobil.com</t>
  </si>
  <si>
    <t>FTP access to ecp-app-1.iwhouse.aetna.com  ecq-cellmgr.iwhouse.aetna.com AND smtp access to midp-mail-921.aetna.com   winp-mail-921.aetna.com   vappmtapplmf1.aetna.com</t>
  </si>
  <si>
    <t>EXXONMOBIL | VPN | WIN-FW-VPN2 | 158.35.254.112 | WDC</t>
  </si>
  <si>
    <t>ExxonMobil2</t>
  </si>
  <si>
    <t>158.26.5.34</t>
  </si>
  <si>
    <t>EXXONMOBIL2 | VPN | MID-FW-VPN2 | 158.26.5.34 | MDC</t>
  </si>
  <si>
    <t>PDC</t>
  </si>
  <si>
    <t>EBIX</t>
  </si>
  <si>
    <t>Migration Completed</t>
  </si>
  <si>
    <t>Tom Tang
Director Technology hosting service
Ebix Technologies
www.ebix.com
+1-770-778-9996 | tom.tang@ebix.com
Atlanta, GA</t>
  </si>
  <si>
    <t>Meritain Health</t>
  </si>
  <si>
    <t>EBIX | PDC</t>
  </si>
  <si>
    <t>Prod for Meritain Health deployed in Vegas 5/1/26.  Tracking EBIX as a partner as of 5/5/26</t>
  </si>
  <si>
    <t>WEX</t>
  </si>
  <si>
    <t>Jake Frodsham
Network Engineer
WEX
111 E Sego Lily Dr #250, Sandy, UT 84070
Office: (801) 624-4665 Mobile: (801) 388-5639
www.wexinc.com</t>
  </si>
  <si>
    <t>WEX | PDC</t>
  </si>
  <si>
    <t>Prod for Meritain Health deployed in Vegas 5/1/26.  Tracking WEX as a partner as of 5/5/26</t>
  </si>
  <si>
    <t>EXXONMOBIL2 | VPN | WIN-FW-VPN2 | 158.26.5.34 | WDC</t>
  </si>
  <si>
    <t>win-ds-l2-edmz-1 1/0/18</t>
  </si>
  <si>
    <t>FDMS-ASRX</t>
  </si>
  <si>
    <t>206.213.208.130</t>
  </si>
  <si>
    <t xml:space="preserve">ASRx-IT Tech Support Team;Gammage, Robert &lt;GammageR@aetna.com&gt;; Hardy, Melissa L &lt;HardyM2@aetna.com&gt;; Jones, Maurice &lt;JonesM10@aetna.com&gt;Gammage, Robert , Melissa Hardy, Maurice Jones </t>
  </si>
  <si>
    <t>4/27 initial email outreach to partner.  No CVS contacts are in directory
5/4 Eric sent follow up as there was no reply from Patti</t>
  </si>
  <si>
    <t>4/27 Becky Christensen replied giving Patti Clark's contact as the relationship manager</t>
  </si>
  <si>
    <t>Network Control Center at            800-555-9966, Becky.Christensen@firstdata.com'; patricia.clark@fiserv.com (account relationship manager)</t>
  </si>
  <si>
    <t>Cisco 1900 (1921)</t>
  </si>
  <si>
    <t xml:space="preserve">  First Data 800-555-9966 ASRX   DHEC44099 LEC ID is ASZZ008996   Smart is Shelf 1A slot 3       TF0058578 USWND0RTRCNA01A-AETNA    </t>
  </si>
  <si>
    <t xml:space="preserve">Melissa Hardy tested compass test.  It worked.  Compass prod is down for maintenance and she will test later. </t>
  </si>
  <si>
    <t>FDMS-ASRX | MPLS | MID-DS-L3-EDMZ-1 GIG1/0/18 | 206.213.202.130 | MDC</t>
  </si>
  <si>
    <t>Mid-ds-L3-EDMZ-1 Gig1/0/18</t>
  </si>
  <si>
    <t xml:space="preserve"> 206.213.202.130</t>
  </si>
  <si>
    <t xml:space="preserve">Gammage, Robert &lt;GammageR@aetna.com&gt;; Hardy, Melissa L &lt;HardyM2@aetna.com&gt;; Jones, Maurice &lt;JonesM10@aetna.com&gt;Gammage, Robert , Melissa Hardy, Maurice Jones </t>
  </si>
  <si>
    <t xml:space="preserve">
Network Control Center at            800-555-9966, Becky.Christensen@firstdata.com'; 
patricia.clark@fiserv.com (account relationship manager)</t>
  </si>
  <si>
    <t>Cisco1900 TF0058579 usxin0rtrcna01a-aetna</t>
  </si>
  <si>
    <t xml:space="preserve">Sprint 77740534/ hcgs828867  </t>
  </si>
  <si>
    <t>Voice Jack 7043B         860-344-0128</t>
  </si>
  <si>
    <t>FDMS-ASRX | MPLS | WIN-DS-L2-EDMZ-1 1/0/18 | 206.213.208.130 | WDC</t>
  </si>
  <si>
    <t>FISERV is vendor</t>
  </si>
  <si>
    <t>fedex</t>
  </si>
  <si>
    <t>199.81.219.142</t>
  </si>
  <si>
    <t xml:space="preserve">Michelle Vassello / Lou Zinzi </t>
  </si>
  <si>
    <t>tkturner@fedex.com</t>
  </si>
  <si>
    <t xml:space="preserve">to Fedex Mainframe - emhvpn.aetna.com </t>
  </si>
  <si>
    <t>FEDEX | VPN | WIN-FW-VPN2 | 199.81.219.142 | WDC</t>
  </si>
  <si>
    <t>firstchoicenw(Dynamic Business Solutions)</t>
  </si>
  <si>
    <t>24.111.7.242</t>
  </si>
  <si>
    <t>Michael Webb mcwebb@cvs.com</t>
  </si>
  <si>
    <t xml:space="preserve">
Shane Baer
605-361-1300
shane@dynbus.com
</t>
  </si>
  <si>
    <t>Everyone from Aetna</t>
  </si>
  <si>
    <t>FIRSTCHOICENW(DYNAMIC BUSINESS SOLUTIONS) | VPN | MID-FW-VPN2 | 24.111.7.242 | MDC</t>
  </si>
  <si>
    <t>Firstsource Solutions Ltd</t>
  </si>
  <si>
    <t>54.85.156.182</t>
  </si>
  <si>
    <t>Selvam Kaliyan
+91-9790981525
selvam.kaliyan@anuntatech.com</t>
  </si>
  <si>
    <t>FIRSTSOURCE SOLUTIONS LTD | VPN | MID-FW-VPN2 | 54.85.156.182 | MDC</t>
  </si>
  <si>
    <t>156.55.174.246</t>
  </si>
  <si>
    <t>4/28 at 3:32pm - Initial partner contact outreach</t>
  </si>
  <si>
    <t>Neil Dziadulewicz, neil.j.dziadulewicz@fisglobal.com, 414-341-5124
Ritesh Sabharwal   (Ritesh.Sabharwal@fisglobal.com)
Katarina Jerolitsch   (Katarina.Jerolitsch@fisglobal.com)</t>
  </si>
  <si>
    <t>FIS | VPN | WIN-FW-VPN2 | 156.55.174.246 | WDC</t>
  </si>
  <si>
    <t>FIS-NJ</t>
  </si>
  <si>
    <t>147.249.53.2</t>
  </si>
  <si>
    <t>FIS-NJ | VPN | MID-FW-VPN2 | 147.249.53.2 | MDC</t>
  </si>
  <si>
    <t>Frontier</t>
  </si>
  <si>
    <t>216.231.28.133</t>
  </si>
  <si>
    <t>FRONTIER | VPN | MID-FW-VPN2 | 216.231.28.133 | MDC</t>
  </si>
  <si>
    <t>futrix</t>
  </si>
  <si>
    <t>203.96.59.74</t>
  </si>
  <si>
    <t xml:space="preserve">Croce, Laura </t>
  </si>
  <si>
    <t>iain.stewart@futrix.com</t>
  </si>
  <si>
    <t>server access to mvmpsecpacsap01.aeth.aetna.com</t>
  </si>
  <si>
    <t>FUTRIX | VPN | MID-FW-VPN2 | 203.96.59.74 | MDC</t>
  </si>
  <si>
    <t>Mid-ds-L3-EDMZ-1 Gig2/0/9</t>
  </si>
  <si>
    <t>206.213.202.182</t>
  </si>
  <si>
    <t>Yeh, Kathleen K &lt;yehkk@cvshealth.com&gt;
 Iqbal, Asif &lt;axiqbal@cvshealth.com&gt;; Fioravanti, Craig J &lt;FioravantiC@cvshealth.com&gt;</t>
  </si>
  <si>
    <t>5/6 Response from Kathleen mentioning that she was in a waiting pattern from the partner.  She will send back info once recieved
5/7 Partner response to Kathleen to confirm connection status with necessary migration information completed</t>
  </si>
  <si>
    <t>Kathlyn Borigas - TAM Manager (primary) Kathlyn.Borigas@genpact.com
Paul Evangelista - TAM Senior Manager (Paul.Evangelista@genpact.com
)
genpactindprod@service-now.com
himanshu.Prasad@genpact.com; 
raj.upadhyay@genpact.com; nitin.sharma2@genpact.com; rokkam.ranjith@genpact.com; lakshmikant.shukla@bt.com; satadru.dasgupta@bt.com
, genpactnetworkmns@genpact.com; genpactnmgl3team@genpact.com; genpactnoccmt@genpact.com;genpact.noc@genpact.com</t>
  </si>
  <si>
    <t>Inbound / Outbound</t>
  </si>
  <si>
    <t>We are only using Citrix URLs access and accessa URLs</t>
  </si>
  <si>
    <t>none</t>
  </si>
  <si>
    <t>Cisco1900</t>
  </si>
  <si>
    <t>kqgn045200         100 baseT crwlct00  Ciena POS#3 ATT/LNS CAB#1</t>
  </si>
  <si>
    <t>GENPACT | VPN | 122.54.230.4 | SHEA</t>
  </si>
  <si>
    <t>GNOHIE-ipsec</t>
  </si>
  <si>
    <t>69.2.51.12</t>
  </si>
  <si>
    <t>GNOHIE-IPSEC | VPN | MID-FW-VPN2 | 69.2.51.12 | MDC</t>
  </si>
  <si>
    <t>google-clear</t>
  </si>
  <si>
    <t>35.245.24.150</t>
  </si>
  <si>
    <t>GOOGLE-CLEAR | VPN | MID-FW-VPN2 | 35.245.24.150 | MDC</t>
  </si>
  <si>
    <t>HCA</t>
  </si>
  <si>
    <t>199.91.37.69</t>
  </si>
  <si>
    <t>HCA | VPN | WIN-FW-VPN1 | 199.91.37.69 | WDC</t>
  </si>
  <si>
    <t>HDI</t>
  </si>
  <si>
    <t xml:space="preserve">216.58.151.4 </t>
  </si>
  <si>
    <t>Soheil Naghian &lt;soheil.naghian@hms.com&gt; &lt;Nets@hms.com&gt;</t>
  </si>
  <si>
    <t>HDI | VPN | WIN-FW-VPN2 | 216.58.151.4 | WDC</t>
  </si>
  <si>
    <t>HealthCatalyst</t>
  </si>
  <si>
    <t>74.63.171.228</t>
  </si>
  <si>
    <t>HEALTHCATALYST | VPN | WIN-FW-VPN2 | 74.63.171.228 | WDC</t>
  </si>
  <si>
    <t>healthfusion2</t>
  </si>
  <si>
    <t>205.158.109.132</t>
  </si>
  <si>
    <t>Thompson, Deborah A/Conklin, Thomas/RichardsonL2@aetna.com</t>
  </si>
  <si>
    <t>6/5 - Initial CVS email (undelivered)</t>
  </si>
  <si>
    <t>ykormuskins@nextgen.com/jlwong@nextgen.com/bherrington@nextgen.com</t>
  </si>
  <si>
    <t>Siteminder access</t>
  </si>
  <si>
    <t>HEALTHFUSION2 | VPN | MID-FW-VPN2 | 205.158.109.132 | MDC</t>
  </si>
  <si>
    <t>6/5: Reach out to partner</t>
  </si>
  <si>
    <t>healthfusionDR</t>
  </si>
  <si>
    <t>206.71.166.162</t>
  </si>
  <si>
    <t>HEALTHFUSIONDR | VPN | WIN-FW-VPN2 | 206.71.166.162 | WDC</t>
  </si>
  <si>
    <t>health-plan-one-orlando</t>
  </si>
  <si>
    <t>72.17.37.11</t>
  </si>
  <si>
    <t>HEALTH-PLAN-ONE-ORLANDO | VPN | WIN-FW-VPN2 | 72.17.37.11 | WDC</t>
  </si>
  <si>
    <t>health-plan-one-tampa</t>
  </si>
  <si>
    <t>24.73.116.227</t>
  </si>
  <si>
    <t>HEALTH-PLAN-ONE-TAMPA | VPN | WIN-FW-VPN2 | 24.73.116.227 | WDC</t>
  </si>
  <si>
    <t>health-plan-one-tampa2</t>
  </si>
  <si>
    <t>162.246.143.212</t>
  </si>
  <si>
    <t>HEALTH-PLAN-ONE-TAMPA2 | VPN | WIN-FW-VPN2 | 162.246.143.212 | WDC</t>
  </si>
  <si>
    <t>health-plan-one-trumbull</t>
  </si>
  <si>
    <t xml:space="preserve">208.49.45.162 </t>
  </si>
  <si>
    <t>HEALTH-PLAN-ONE-TRUMBULL | VPN | WIN-FW-VPN2 | 208.49.45.162 | WDC</t>
  </si>
  <si>
    <t xml:space="preserve">HealthSmart </t>
  </si>
  <si>
    <t>216.167.150.202</t>
  </si>
  <si>
    <t>william.byrne@healthsmart.com/kristen.crotty@healthsmart.com</t>
  </si>
  <si>
    <t>HEALTHSMART | VPN | MID-FW-VPN2 | 216.167.150.202 | MDC</t>
  </si>
  <si>
    <t xml:space="preserve">HewittBoA </t>
  </si>
  <si>
    <t xml:space="preserve">204.152.239.35 </t>
  </si>
  <si>
    <t>Gorman, Jeff
Marie Wolven  WolvenM@aetna.com
Kelly Bedard - BedardK@aetna.com</t>
  </si>
  <si>
    <t>beth.currence@bankofamerica.com
rob.kordek@aonhewitt.com
shaun.zenner@aonhewitt.com 
AON Hewitt GS - gsoc@aonhewitt.com</t>
  </si>
  <si>
    <t xml:space="preserve"> https://qps.bac.mphro.com
https://ps.bac.mphro.com</t>
  </si>
  <si>
    <t>HEWITTBOA | VPN | MID-FW-VPN1 | 204.152.239.35 | MDC</t>
  </si>
  <si>
    <t>win-ds-l2-edmz-1 1/0/8</t>
  </si>
  <si>
    <t>HGSL- Accenture Project Mercury AGB Hinduja Outsourcing</t>
  </si>
  <si>
    <t xml:space="preserve"> 206.213.208.174</t>
  </si>
  <si>
    <t>PusapatiS1@cvshealth.com; KediaA1@cvshealth.com;</t>
  </si>
  <si>
    <t>4/29 initial email sent
5/6 Eric replied to partner contacts to gather information</t>
  </si>
  <si>
    <t>5/4 Sudheer Pusapati replied with Vendor contacts for HGSL (now company name is Sagility)
5/11 partner confirmed MPLS connection has been disconnected.  Apps are being accessed through internet link</t>
  </si>
  <si>
    <t xml:space="preserve">TSGPoloSouth@teamhgs.com'; 'Dinesh Raj (Dinesh.R@teamhgs.com)'; 'Vimal Raj Y. Noel (Vimal.Noel@teamhgs.com)'   ateeq@teamhgs.com, </t>
  </si>
  <si>
    <t>Cisco 2800</t>
  </si>
  <si>
    <t>Verizon Overture port 1/1 rackN53 W0Z51992 EA-Y03-Y03-001</t>
  </si>
  <si>
    <t>Kirubalan K &lt;kirubalank@teamhgs.com&gt; verified all is well.</t>
  </si>
  <si>
    <t>HGSL- ACCENTURE PROJECT MERCURY AGB HINDUJA OUTSOURCING | MPLS | MID-DS-L3-EDMZ-1 GIG1/0/8 | 206.213.202.174 | MDC</t>
  </si>
  <si>
    <t>mid-ds-l3-edmz-1 Gig1/0/8</t>
  </si>
  <si>
    <t>206.213.202.174</t>
  </si>
  <si>
    <t xml:space="preserve"> venkatesham@sagility.com
mohammad.shaikhassea@sagility.com
vinay.a@sagility.com
mohanraj.t@sagility.com</t>
  </si>
  <si>
    <t>EDBKTT5R0001 HFGS710833  IP 166.47.137.180 Overture Networks</t>
  </si>
  <si>
    <t>HGSL- ACCENTURE PROJECT MERCURY AGB HINDUJA OUTSOURCING | MPLS | WIN-DS-L2-EDMZ-1 1/0/8 | 206.213.208.174 | WDC</t>
  </si>
  <si>
    <t>htmt-philippines(HGS)</t>
  </si>
  <si>
    <t>202.162.161.1</t>
  </si>
  <si>
    <t>Lori Carter</t>
  </si>
  <si>
    <t>Billy.Deus@teamhgs.com</t>
  </si>
  <si>
    <t xml:space="preserve"> hgsl-cmsirpt-001.aetna.com  and hgsl-cmsirpt-002.aetna.com</t>
  </si>
  <si>
    <t>HTMT-PHILIPPINES(HGS) | VPN | MID-FW-VPN2 | 202.162.161.1 | MDC</t>
  </si>
  <si>
    <t>IBM -</t>
  </si>
  <si>
    <t xml:space="preserve">170.225.244.250 </t>
  </si>
  <si>
    <t>Jonathan Swanson / Darcy Salemme SalemmeD@aetna.com</t>
  </si>
  <si>
    <t>Ramesh Rajagopalan rameshra@in.ibm.com</t>
  </si>
  <si>
    <t>IBM Case manager</t>
  </si>
  <si>
    <t>IBM - | VPN | MID-FW-VPN1 | 170.225.244.250 | MDC</t>
  </si>
  <si>
    <t>IBM / STSM</t>
  </si>
  <si>
    <t xml:space="preserve"> Greg Hintermeister (507) 250 6583</t>
  </si>
  <si>
    <t>4/27 initial outreach sent to partner.  No CVS contacts found in directory for this connection
5/8 Eric sent follow up message to confirm status</t>
  </si>
  <si>
    <t>5/1 Sherman Lee replied asking for more time to can confirm that the connection is no longer being used
5/11 Joe Bell validated no active connections exist for CVSH businesses (Aetna, CVS, Caremark)</t>
  </si>
  <si>
    <t>gregh@us.ibm.com
joseph_bell@us.ibm.com
shermlee@us.ibm.com</t>
  </si>
  <si>
    <t>IBM - Mystic Pilot</t>
  </si>
  <si>
    <t>IBM / STSM | VPN | MID-FW-VPN1 | 169.55.78.243 | MDC</t>
  </si>
  <si>
    <t>IBM Watson for Aetna and Banner</t>
  </si>
  <si>
    <t>SHUT 10/02/2019 CM0019601</t>
  </si>
  <si>
    <t>66.181.73.11</t>
  </si>
  <si>
    <t>Amy DePinto DePintoA@aetna.com 312-928-3591</t>
  </si>
  <si>
    <t>Jon Florczyk jflorczy@us.ibm.com 216-253-0582 / David Crawford david.crawford@ibm.com / Karen Hansen-Rojas hansenka@us.ibm.com +1 (303) 486-6526</t>
  </si>
  <si>
    <t>outbound</t>
  </si>
  <si>
    <t>watson</t>
  </si>
  <si>
    <t>IBM WATSON FOR AETNA AND BANNER | VPN | MID-FW-VPN1 | 66.181.73.11 | MDC</t>
  </si>
  <si>
    <t>ida-ipsec</t>
  </si>
  <si>
    <t>199.73.111.98</t>
  </si>
  <si>
    <t>IDA-IPSEC | VPN | MID-FW-VPN1 | 199.73.111.98 | MDC</t>
  </si>
  <si>
    <t>Indian-Health</t>
  </si>
  <si>
    <t>SHUT 1/08/2019 @CHG0117014 CM0017929</t>
  </si>
  <si>
    <t>14.143.11.178</t>
  </si>
  <si>
    <t>Ashley Gamble gamblea@aetna.com (incorrect POC)</t>
  </si>
  <si>
    <t>6/9 at 2:57pm - Ashley hasn't worked with Tripwire since 2017/2018.</t>
  </si>
  <si>
    <t xml:space="preserve">Nikhil goel' - Nikhil.goel@iho.in  +91-9833679739
Tech contact Sanjeev Kumar - Sanjeev.kumar@iho.in +91- 9873251108   
</t>
  </si>
  <si>
    <t>Tripwire servers</t>
  </si>
  <si>
    <t>INDIAN-HEALTH | VPN | MID-FW-VPN1 | 14.143.11.178 | MDC</t>
  </si>
  <si>
    <t>6/9: Need to reach out to partners directly.</t>
  </si>
  <si>
    <t>Informis -</t>
  </si>
  <si>
    <t>SHUT 2/08/2019 @- .-CHG01170209 CM0017929</t>
  </si>
  <si>
    <t>209.249.196.194</t>
  </si>
  <si>
    <t>Erin Harvey emharvey@aetna.com 972-849-7914</t>
  </si>
  <si>
    <t>Carrie Endless Carrie.Endless@Informis.com 312-550-3687
Timothy Pyne tpyne@gomindsight.com 630-796-0299 630-981-5119</t>
  </si>
  <si>
    <t>INFORMIS - | VPN | MID-FW-VPN1 | 209.249.196.194 | MDC</t>
  </si>
  <si>
    <t>ing</t>
  </si>
  <si>
    <t>72.0.27.1</t>
  </si>
  <si>
    <t xml:space="preserve">Young, Tina/Niemczyk, Heidi A </t>
  </si>
  <si>
    <t>Marco.Hinds@us.ing.com</t>
  </si>
  <si>
    <t>FTP-NDM servers access/accessa.aetna.com connection</t>
  </si>
  <si>
    <t>ING | VPN | MID-FW-VPN2 | 72.0.27.1 | MDC</t>
  </si>
  <si>
    <t xml:space="preserve">Innovative                            </t>
  </si>
  <si>
    <t xml:space="preserve">216.25.141.202 </t>
  </si>
  <si>
    <t>Nicole Brantley - BrantleyN@AETNA.com
Sophia Berrios  - BerriosS1@aetna.com</t>
  </si>
  <si>
    <t>Rich Henderson - RHenderson@issisystems.com
Patrick Sosalski - PSosalski@issisystems.com</t>
  </si>
  <si>
    <t>Innovative Software Solutions servers</t>
  </si>
  <si>
    <t>INNOVATIVE | VPN | WIN-FW-VPN1 | 216.25.141.202 | WDC</t>
  </si>
  <si>
    <t>inspro</t>
  </si>
  <si>
    <t>69.164.124.76</t>
  </si>
  <si>
    <t>LucianoM@aetna.com/Nelsen, Keith</t>
  </si>
  <si>
    <t>ksherman@inspro.com/rzabaga@inspro.com</t>
  </si>
  <si>
    <t>inbound file transfer to midpstint01 and transfer2/outbound ftp to ssicnv05.aetna.com</t>
  </si>
  <si>
    <t>INSPRO | VPN | WIN-FW-VPN2 | 69.164.124.76 | WDC</t>
  </si>
  <si>
    <t>inspro2</t>
  </si>
  <si>
    <t>ksherman@inspro.com</t>
  </si>
  <si>
    <t>File transfer/siteminder/SSI</t>
  </si>
  <si>
    <t>Primary  B2B Connection</t>
  </si>
  <si>
    <t>INSPRO2 | VPN | MID-FW-VPN2 | 69.164.124.76 | MDC</t>
  </si>
  <si>
    <t>inspro-dr</t>
  </si>
  <si>
    <t>209.92.12.34</t>
  </si>
  <si>
    <t>access to  mvmpssiap05.aeth.aetna.com/ssicnv02.aetna.com and and transfer2/outbound ftp to ssicnv05.aetna.com</t>
  </si>
  <si>
    <t>INSPRO-DR | VPN | MID-FW-VPN2 | 209.92.12.34 | MDC</t>
  </si>
  <si>
    <t>intrust</t>
  </si>
  <si>
    <t>131.239.182.163</t>
  </si>
  <si>
    <t>INTRUST | VPN | WIN-FW-VPN1 | 131.239.182.163 | WDC</t>
  </si>
  <si>
    <t xml:space="preserve">Iowa Fringe Benefit funds             </t>
  </si>
  <si>
    <t>67.130.9.50   162.253.44.108</t>
  </si>
  <si>
    <t>Deborah Martorelli - MartorelliD@aetna.com</t>
  </si>
  <si>
    <t>Jesseca Davis - JDavis@issisystems.com</t>
  </si>
  <si>
    <t>IOWA FRINGE BENEFIT FUNDS | VPN | WIN-FW-VPN1 | 67.130.9.50 162.253.44.108 | WDC</t>
  </si>
  <si>
    <t>jive-sharepoint</t>
  </si>
  <si>
    <t>SHUT 1/17/2018</t>
  </si>
  <si>
    <t>204.93.64.12</t>
  </si>
  <si>
    <t>BylykuE@aetna.com</t>
  </si>
  <si>
    <t>https:// teams.sp.aetna.com/https://personalsites.sp.aetna.com</t>
  </si>
  <si>
    <t>JIVE-SHAREPOINT | VPN | MID-FW-VPN2 | 204.93.64.12 | MDC</t>
  </si>
  <si>
    <t>Kansas-Department-of-Health-and-Environment</t>
  </si>
  <si>
    <t xml:space="preserve">165.201.142.50 </t>
  </si>
  <si>
    <t>KANSAS-DEPARTMENT-OF-HEALTH-AND-ENVIRONMENT | VPN | MID-FW-VPN1 | 165.201.142.50 | MDC</t>
  </si>
  <si>
    <t>Kencare/DCX</t>
  </si>
  <si>
    <t>SHUT 6/08/2019CHG0117068 CM0017929</t>
  </si>
  <si>
    <t>68.109.249.164</t>
  </si>
  <si>
    <t>Moorthy, Krishna &lt;MoorthyK@AETNA.com&gt;</t>
  </si>
  <si>
    <t xml:space="preserve">David Brown/david.brown9@dxc.com  (785-580-5104)/866 818 2106 Opt 6 - corenoc@dxc.com
</t>
  </si>
  <si>
    <t>146.123.241.1</t>
  </si>
  <si>
    <t>KENCARE/DCX | VPN | MID-FW-VPN1 | 68.109.249.164 | MDC</t>
  </si>
  <si>
    <t>Labcorp</t>
  </si>
  <si>
    <t xml:space="preserve">12.145.88.12 </t>
  </si>
  <si>
    <t>Kumar, Rajeev &lt;rkumar@aetna.com&gt;</t>
  </si>
  <si>
    <t>Donald Holley Phone: 336-436-8035 don_holley@labcorp.com</t>
  </si>
  <si>
    <t>LABCORP | VPN | MID-FW-VPN1 | 12.145.88.12 | MDC</t>
  </si>
  <si>
    <t>la-colonial</t>
  </si>
  <si>
    <t>190.122.109.82</t>
  </si>
  <si>
    <t>LA-COLONIAL | VPN | MID-FW-VPN2 | 190.122.109.82 | MDC</t>
  </si>
  <si>
    <t xml:space="preserve">Liaison                               </t>
  </si>
  <si>
    <t xml:space="preserve">63.111.64.4    </t>
  </si>
  <si>
    <t>Ana M Rivera - RiveraAM@aetna.com (Incorrect POC)</t>
  </si>
  <si>
    <t>6/9 at 2:06pm - Ana is no longer the POC.</t>
  </si>
  <si>
    <t xml:space="preserve">nupathsupport@liaison.com 
Ethel Montgomery - EMontgomery@liaison.com </t>
  </si>
  <si>
    <t>liaison FTP servers</t>
  </si>
  <si>
    <t>LIAISON | VPN | WIN-FW-VPN1 | 63.111.64.4 | WDC</t>
  </si>
  <si>
    <t>Local 195 -</t>
  </si>
  <si>
    <t>SHUT  REMOVED 04/08/2019 - CHG0117045 CM0017929</t>
  </si>
  <si>
    <t xml:space="preserve">24.105.189.82  </t>
  </si>
  <si>
    <t>Maureen Hughes - HughesM7@aetna.com
David Norton - NortonD@aetna.com</t>
  </si>
  <si>
    <t>Mike Gilbert - gilbertm@twcny.rr.com
Pattty Redhead - predhead@twcny.rr.com</t>
  </si>
  <si>
    <t>LOCAL 195 - | VPN | WIN-FW-VPN1 | 24.105.189.82 | WDC</t>
  </si>
  <si>
    <t>logicor</t>
  </si>
  <si>
    <t>206.169.155.35</t>
  </si>
  <si>
    <t xml:space="preserve"> Jonathan Benitez /  Robert Gammage (4/21: Contacts no longer exist in directory)</t>
  </si>
  <si>
    <t>John Sasser jsasser@logicor.com gdeutsch@logicot.com</t>
  </si>
  <si>
    <t>File transfer to xasrxosibm1.aetna.com xasrxosibms.aetna.com</t>
  </si>
  <si>
    <t>LOGICOR | VPN | WIN-FW-VPN2 | 206.169.155.35 | WDC</t>
  </si>
  <si>
    <t>magellan</t>
  </si>
  <si>
    <t xml:space="preserve">204.193.88.10 </t>
  </si>
  <si>
    <t xml:space="preserve"> Caraway, Jami M/Muller, Dawn M</t>
  </si>
  <si>
    <t>Greg Howe Phone: 314-387-4067 glhowe@magellanhealth.com
Dave Tayman Phone: 410-953-4839 dwtayman@magellanhealth.com</t>
  </si>
  <si>
    <t xml:space="preserve">inbound </t>
  </si>
  <si>
    <t>Aetna SMTP and FTP servers</t>
  </si>
  <si>
    <t>MAGELLAN | VPN | MID-FW-VPN1 | 204.193.88.10 | MDC</t>
  </si>
  <si>
    <t>majesco</t>
  </si>
  <si>
    <t>13.68.252.211</t>
  </si>
  <si>
    <t>MAJESCO | VPN | MID-FW-VPN2 | 13.68.252.211 | MDC</t>
  </si>
  <si>
    <t>majesco-prod</t>
  </si>
  <si>
    <t>172.173.251.234</t>
  </si>
  <si>
    <t>MAJESCO-PROD | VPN | MID-FW-VPN2 | 172.173.251.234 | MDC</t>
  </si>
  <si>
    <t>maxor-pdm</t>
  </si>
  <si>
    <t>Kallaugher, Diane A/Kelley, Patrick</t>
  </si>
  <si>
    <t xml:space="preserve">jsellers@envisionrx.com </t>
  </si>
  <si>
    <t>iwhouse access/EnvisionRX access</t>
  </si>
  <si>
    <t>MAXOR-PDM | VPN | MID-FW-VPN2 | 209.221.23.194 | MDC</t>
  </si>
  <si>
    <t xml:space="preserve">MBI Solutions                         </t>
  </si>
  <si>
    <t>SHUT FM-7819 5/3/2021</t>
  </si>
  <si>
    <t xml:space="preserve">76.8.52.158    </t>
  </si>
  <si>
    <t>Michele Dankowski - Dankowskim@aetna.com
Joyce Baker   - bakerJT@aetna.com</t>
  </si>
  <si>
    <t>Mark McHugh - mmchugh@mbisolutions.net
Marc Logue - mlogue@mbisolutions.net</t>
  </si>
  <si>
    <t xml:space="preserve">
SSH access to Aetna DCS Servers</t>
  </si>
  <si>
    <t>MBI SOLUTIONS | VPN | WIN-FW-VPN1 | 76.8.52.158 | WDC</t>
  </si>
  <si>
    <t>MCKESSON | VPN | 143.112.144.68 | PDX</t>
  </si>
  <si>
    <t>md-abroad</t>
  </si>
  <si>
    <t>200.68.111.139</t>
  </si>
  <si>
    <t>MD-ABROAD | VPN | WIN-FW-VPN2 | 200.68.111.139 | WDC</t>
  </si>
  <si>
    <t>mid-ds-l3-edmz-1 Gig1/0/9</t>
  </si>
  <si>
    <t>206.213.202.90</t>
  </si>
  <si>
    <t>Black, Edward B &lt;BlackEB@aetna.com&gt;; Romano, Stephen &lt;RomanoS@aetna.com&gt;; 
Lacey Stubbs- StubbsL@aetna.com</t>
  </si>
  <si>
    <t>4/28 initial email sent</t>
  </si>
  <si>
    <t>4/30 Thomas (retiring) confirmed connection was active, gave updated contacts, and required metadata</t>
  </si>
  <si>
    <t>Inbound and outbound</t>
  </si>
  <si>
    <t>EDI realtime Shared accumulators along with ACAS back-end</t>
  </si>
  <si>
    <t>Cisco2811</t>
  </si>
  <si>
    <t>DHEC655397       ASZZ007426  HWIC3</t>
  </si>
  <si>
    <t>Client/Vendor</t>
  </si>
  <si>
    <t>MEDCO | MPLS | MID-DS-L3-EDMZ-1 GIG1/0/9 | 206.213.202.90 | MDC</t>
  </si>
  <si>
    <t>win-ds-l2-edmz-1 2/0/17</t>
  </si>
  <si>
    <t>206.213.208.90</t>
  </si>
  <si>
    <t>Cisco2800</t>
  </si>
  <si>
    <t xml:space="preserve">dhec668350 aszz007427 smart a1/20 dsx3a20/1d11 </t>
  </si>
  <si>
    <t>Ed Black confirmed all is well.  Lynch, Jeanne D LynchJD@aetna.com</t>
  </si>
  <si>
    <t>MEDCO | VPN | 167.211.204.4 | SHEA</t>
  </si>
  <si>
    <t xml:space="preserve">Medco Health Solutions                </t>
  </si>
  <si>
    <t xml:space="preserve">167.211.204.4  </t>
  </si>
  <si>
    <t>Susan O'Donnell - ODonnellS1@aetna.com</t>
  </si>
  <si>
    <t>Rob Violante robert_violante@express-scripts.com
Sue Sibal  sibals@express-scripts.com</t>
  </si>
  <si>
    <t>webapp MedHOK</t>
  </si>
  <si>
    <t>MEDCO HEALTH SOLUTIONS | VPN | WIN-FW-VPN1 | 167.211.204.4 | WDC</t>
  </si>
  <si>
    <t>medgate</t>
  </si>
  <si>
    <t xml:space="preserve">199.168.255.150 </t>
  </si>
  <si>
    <t>Vera Bellinger BellingerV@aetna.com</t>
  </si>
  <si>
    <t>Jim Peterson 214-466-1010 peterson@olsdallas.com</t>
  </si>
  <si>
    <t>www.adminotc.com</t>
  </si>
  <si>
    <t>MEDGATE | VPN | MID-FW-VPN1 | 199.168.255.150 | MDC</t>
  </si>
  <si>
    <t>MedHOK-caremark</t>
  </si>
  <si>
    <t>MEDHOK-CAREMARK | VPN | WIN-FW-VPN1 | 199.204.139.93 | WDC</t>
  </si>
  <si>
    <t>Medimpact</t>
  </si>
  <si>
    <t>208.91.228.4</t>
  </si>
  <si>
    <t>Madden, Dave</t>
  </si>
  <si>
    <t>rtmsupport@MedImpact.com /Keith.Ferguson@MedImpact.com/Vasudeva.Bobba@MedImpact.com</t>
  </si>
  <si>
    <t>MEDIMPACT | VPN | MID-FW-VPN2 | 208.91.228.4 | MDC</t>
  </si>
  <si>
    <t>Medimpact-Sandiego-DBAR</t>
  </si>
  <si>
    <t>198.54.236.20</t>
  </si>
  <si>
    <t>MEDIMPACT-SANDIEGO-DBAR | VPN | WIN-FW-VPN2 | 198.54.236.20 | WDC</t>
  </si>
  <si>
    <t>Mewbourne Oil Company</t>
  </si>
  <si>
    <t>12.237.9.2</t>
  </si>
  <si>
    <t>Jose E Castro 281-637-3132 CastroJ1@Aetna.com</t>
  </si>
  <si>
    <t>6/9 at 2:47pm - Mewbourne Oil terminated several years back.</t>
  </si>
  <si>
    <t>Wes Roach WRoach@mewbourne.com</t>
  </si>
  <si>
    <t>MEWBOURNE OIL COMPANY | VPN | WIN-FW-VPN1 | 12.237.9.2 | WDC</t>
  </si>
  <si>
    <t>MTC-ipsec</t>
  </si>
  <si>
    <t>50.31.166.50</t>
  </si>
  <si>
    <t>MTC-IPSEC | VPN | MID-FW-VPN1 | 50.31.166.50 | MDC</t>
  </si>
  <si>
    <t xml:space="preserve">Multiplan                             </t>
  </si>
  <si>
    <t xml:space="preserve">208.78.22.4    </t>
  </si>
  <si>
    <t>support@multiplan.com</t>
  </si>
  <si>
    <t>Aetna EDI</t>
  </si>
  <si>
    <t>MULTIPLAN | VPN | WIN-FW-VPN1 | 208.78.22.4 | WDC</t>
  </si>
  <si>
    <t>national-healthcare</t>
  </si>
  <si>
    <t>208.81.49.154</t>
  </si>
  <si>
    <t>Patrick McCormick</t>
  </si>
  <si>
    <t xml:space="preserve">support@sbsproactive.com Omar Giraldo ogiraldo@vumigroup.com </t>
  </si>
  <si>
    <t>NATIONAL-HEALTHCARE | VPN | WIN-FW-VPN2 | 208.81.49.154 | WDC</t>
  </si>
  <si>
    <t>netcare</t>
  </si>
  <si>
    <t>202.151.85.154</t>
  </si>
  <si>
    <t>NETCARE | VPN | WIN-FW-VPN1 | 202.151.85.154 | WDC</t>
  </si>
  <si>
    <t xml:space="preserve">netcare-ipsec </t>
  </si>
  <si>
    <t>202.128.4.155</t>
  </si>
  <si>
    <t>NETCARE-IPSEC | VPN | MID-FW-VPN1 | 202.128.4.155 | MDC</t>
  </si>
  <si>
    <t>Nice</t>
  </si>
  <si>
    <t>SHUT - REMOVED 12/25/2020 FM-5955-5959</t>
  </si>
  <si>
    <t>208.70.192.145</t>
  </si>
  <si>
    <t>DamatoS@AETNA.com/SanchezC3@AETNA.com</t>
  </si>
  <si>
    <t>Mehuld.soni@nice.com/Jody.Detmer@nice.com/Sebastian Chavarriaga &lt;Sebastian.Chavarriaga@nice.com&gt;</t>
  </si>
  <si>
    <t>Nice application(aetna-rtam-prod.niceondemand.com/aetna-rtam-rpt.niceondemand.com)</t>
  </si>
  <si>
    <t>NICE | VPN | 54.83.104.162 | SHEA</t>
  </si>
  <si>
    <t>NorthWest Ohio Area Agency on Aging</t>
  </si>
  <si>
    <t>SHUT 1/08/2019  () /
CHG0117012 CM0017929</t>
  </si>
  <si>
    <t xml:space="preserve">12.118.3.134  </t>
  </si>
  <si>
    <t>Jason Smith (smitht25@aetna.com) 614-933-8350</t>
  </si>
  <si>
    <t>NORTHWEST OHIO AREA AGENCY ON AGING | VPN | MID-FW-VPN1 | 12.118.3.134 | MDC</t>
  </si>
  <si>
    <t>nw-Ohio-aaa-DR</t>
  </si>
  <si>
    <t>64.254.143.66</t>
  </si>
  <si>
    <t>Smith, Jason &lt;jrsmith@aetna.com&gt;</t>
  </si>
  <si>
    <t xml:space="preserve">jCrabtree@nemsys.com  bunderwood@nemsyscom </t>
  </si>
  <si>
    <t>NW-OHIO-AAA-DR | VPN | WIN-FW-VPN2 | 64.254.143.66 | WDC</t>
  </si>
  <si>
    <t>nyc-hhc(City of NY Health Hospitals Corporation) -</t>
  </si>
  <si>
    <t>SHUT  04/08/2019 - CHG0117045 CM0017929</t>
  </si>
  <si>
    <t>65.51.155.2</t>
  </si>
  <si>
    <t xml:space="preserve">Killich, Jason/Sheaffer, Amy </t>
  </si>
  <si>
    <t>hrsysadmin@nychhc.org</t>
  </si>
  <si>
    <t xml:space="preserve"> hcfile.aetna.com</t>
  </si>
  <si>
    <t>NYC-HHC(CITY OF NY HEALTH HOSPITALS CORPORATION) - | VPN | WIN-FW-VPN2 | 65.51.155.2 | WDC</t>
  </si>
  <si>
    <t>nyc-hhc-New York City HHC -</t>
  </si>
  <si>
    <t>SHUT 04/08/2019 - CHG0117045 CM0017929</t>
  </si>
  <si>
    <t>67.221.24.5</t>
  </si>
  <si>
    <t>NYC-HHC-NEW YORK CITY HHC - | VPN | MID-FW-VPN2 | 67.221.24.5 | MDC</t>
  </si>
  <si>
    <t>ohio-das</t>
  </si>
  <si>
    <t>66.144.254.108</t>
  </si>
  <si>
    <t>Tanzillo, Hollie</t>
  </si>
  <si>
    <t>ken.carvel@das.ohio.gov/csc@ohio.gov</t>
  </si>
  <si>
    <t>ssicnv02.aetna.com</t>
  </si>
  <si>
    <t>OHIO-DAS | VPN | MID-FW-VPN2 | 66.144.254.108 | MDC</t>
  </si>
  <si>
    <t>omhc</t>
  </si>
  <si>
    <t>20.39.134.205</t>
  </si>
  <si>
    <t>evalverde@omhc.com/techsupport@omhc.com</t>
  </si>
  <si>
    <t>OMHC | VPN | MID-FW-VPN2 | 20.39.134.205 | MDC</t>
  </si>
  <si>
    <t>omhci(Olympus Managed Health Care)  -</t>
  </si>
  <si>
    <t>38.127.210.162</t>
  </si>
  <si>
    <t>McCormick, Patrick J</t>
  </si>
  <si>
    <t>OMHCI(OLYMPUS MANAGED HEALTH CARE) - | VPN | MID-FW-VPN2 | 38.127.210.162 | MDC</t>
  </si>
  <si>
    <t xml:space="preserve">orthonet </t>
  </si>
  <si>
    <t xml:space="preserve">12.53.175.2 </t>
  </si>
  <si>
    <t>Yates, Michael</t>
  </si>
  <si>
    <t>Jason Pagano JPAGANO@orthonet-online.com</t>
  </si>
  <si>
    <t>ORTHONET | VPN | MID-FW-VPN1 | 12.53.175.2 | MDC</t>
  </si>
  <si>
    <t>PacificUnderwriters</t>
  </si>
  <si>
    <t>68.178.123.146</t>
  </si>
  <si>
    <t>PACIFICUNDERWRITERS | VPN | MID-FW-VPN2 | 68.178.123.146 | MDC</t>
  </si>
  <si>
    <t>Perfecto</t>
  </si>
  <si>
    <t>18.213.72.25</t>
  </si>
  <si>
    <t>Scott Power PowerDS1@aetna.com</t>
  </si>
  <si>
    <t>Miles Stephens mstephens@perforce.com</t>
  </si>
  <si>
    <t>Perfecto MCM and VAS, Aetna HSS</t>
  </si>
  <si>
    <t>PERFECTO | VPN | MID-FW-VPN1 | 18.213.72.25 | MDC</t>
  </si>
  <si>
    <t>Performant-Pri</t>
  </si>
  <si>
    <t>205.140.217.142</t>
  </si>
  <si>
    <t>PERFORMANT-PRI | VPN | MID-FW-VPN2 | 205.140.217.142 | MDC</t>
  </si>
  <si>
    <t>Performant-Sec</t>
  </si>
  <si>
    <t>Secondary tunnel</t>
  </si>
  <si>
    <t>149.137.192.222</t>
  </si>
  <si>
    <t>PERFORMANT-SEC | VPN | MID-FW-VPN2 | 149.137.192.222 | MDC</t>
  </si>
  <si>
    <t xml:space="preserve">perot-stalford  - </t>
  </si>
  <si>
    <t>72.15.229.166</t>
  </si>
  <si>
    <t xml:space="preserve">Luciano, Michael /Gupte, Rakesh </t>
  </si>
  <si>
    <t xml:space="preserve">James_Pearl@DELL.com </t>
  </si>
  <si>
    <t>https access to these servers - wvmqgieoiis01-moeoiwebsvc eoiwebsvc wvmqgieoiis01-treoiwebsvc and  eoiwebsvc.aetna.com</t>
  </si>
  <si>
    <t>PEROT-STALFORD - | VPN | WIN-FW-VPN2 | 72.15.229.166 | WDC</t>
  </si>
  <si>
    <t>rawlings</t>
  </si>
  <si>
    <t xml:space="preserve">198.41.14.4 </t>
  </si>
  <si>
    <t>Cupelli, Leigh/Purvis, Amanda</t>
  </si>
  <si>
    <t>Matthew Byrdwell  502-814-2184 jb9@rawlingscompany.com</t>
  </si>
  <si>
    <t>Aetna Mainframe -tcp992</t>
  </si>
  <si>
    <t>RAWLINGS | VPN | MID-FW-VPN1 | 198.41.14.4 | MDC</t>
  </si>
  <si>
    <t xml:space="preserve">Rehn                                  </t>
  </si>
  <si>
    <t>173.227.225.188</t>
  </si>
  <si>
    <t>John Graham johng@rehnonline.com</t>
  </si>
  <si>
    <t>REHN | VPN | WIN-FW-VPN1 | 173.227.225.188 | WDC</t>
  </si>
  <si>
    <t>Ricoh-ipsec</t>
  </si>
  <si>
    <t>67.214.138.43</t>
  </si>
  <si>
    <t>RICOH-IPSEC | VPN | MID-FW-VPN1 | 67.214.138.43 | MDC</t>
  </si>
  <si>
    <t>rte-intranet</t>
  </si>
  <si>
    <t>RTE-INTRANET | VPN | MID-FW-VPN1 | 169.55.78.243 | MDC</t>
  </si>
  <si>
    <t>scio</t>
  </si>
  <si>
    <t>216.27.58.102</t>
  </si>
  <si>
    <t>SCIO | VPN | WIN-FW-VPN2 | 216.27.58.102 | WDC</t>
  </si>
  <si>
    <t>selman</t>
  </si>
  <si>
    <t>SHUT - FM-7819 5/3/2021</t>
  </si>
  <si>
    <t>64.245.170.35</t>
  </si>
  <si>
    <t xml:space="preserve"> Saraceno, Joanna /Harpster, Susan K</t>
  </si>
  <si>
    <t>4/27 initial outreach sent to partner.  No CVS contacts found in directory for this connection</t>
  </si>
  <si>
    <t>5/1 Partner responded and validated this connection as Decom</t>
  </si>
  <si>
    <t>cahmad@selmanco.com 
Slivka, Melanie - mslivka@selmanco.com (main contact)</t>
  </si>
  <si>
    <t>SELMAN | VPN | WIN-FW-VPN2 | 64.245.170.35 | WDC</t>
  </si>
  <si>
    <t>selman2</t>
  </si>
  <si>
    <t>71.66.212.99</t>
  </si>
  <si>
    <t>Ken Butler Sr. Engineer Phone- 860-273-6529</t>
  </si>
  <si>
    <t>5/1 Partner verified active connection and provided previously missing CVS Contact</t>
  </si>
  <si>
    <t>Vendor &amp; Client</t>
  </si>
  <si>
    <t>SELMAN2 | VPN | WIN-FW-VPN2 | 71.66.212.99 | WDC</t>
  </si>
  <si>
    <t>VENDOR &amp; Client   Selman to reach the Aetna virtual machines and have the ability to print.  Aetna employees to access Selman’s imaging system to view images</t>
  </si>
  <si>
    <t>Sheet Metal Workers -</t>
  </si>
  <si>
    <t xml:space="preserve">REMOVED 04/08/2019 - CHG0117045 CM0017929 </t>
  </si>
  <si>
    <t xml:space="preserve">50.75.158.130  </t>
  </si>
  <si>
    <t>Joan Volz - VolzJ@aetna.com</t>
  </si>
  <si>
    <t>Mike Gilbert - gilbertm@twcny.rr.com</t>
  </si>
  <si>
    <t>Inbound
accessa.aetna.com connection</t>
  </si>
  <si>
    <t>Not used in last 220 Days, emailed Joan Volz to see if Tunnel is still needed</t>
  </si>
  <si>
    <t>SHEET METAL WORKERS - | VPN | WIN-FW-VPN1 | 50.75.158.130 | WDC</t>
  </si>
  <si>
    <t>SourceOne</t>
  </si>
  <si>
    <t xml:space="preserve">64.88.185.132 </t>
  </si>
  <si>
    <t>Amy  Grimes - GrimesAE@aetna.com (maybe)</t>
  </si>
  <si>
    <t>Laurentiu Andrioaie 404-285-6075 laandrioaie@sourceonedirect.com
Deon Johnson 678-539-4445 djohnson@sourceonedirect.com</t>
  </si>
  <si>
    <t>Sourceone https</t>
  </si>
  <si>
    <t>SOURCEONE | VPN | MID-FW-VPN1 | 64.88.185.132 | MDC</t>
  </si>
  <si>
    <t>mid-ds-l3-edmz-1 Gig2/0/15</t>
  </si>
  <si>
    <t>State Street Bank</t>
  </si>
  <si>
    <t>206.213.202.62 Doesn’t allow ping.  Check interface only.</t>
  </si>
  <si>
    <t>206.213.251.198</t>
  </si>
  <si>
    <t xml:space="preserve">Hougrand, Scot &lt;HougrandS@cvshealth.com&gt;Todd A HowardT4@cvshealth.com, Brennan, John W BrennanJ4@cvshealth.com, and Antonelli, Peter J AntonelliP@cvshealth.com.   </t>
  </si>
  <si>
    <t>4/30 Scot replied validating the connection as active and providing updated information</t>
  </si>
  <si>
    <t xml:space="preserve">Rayo, Melanie &lt;MRayo@StateStreet.com&gt;
NOC 617-985-9205                    ,  David Catinella            617-537-0553 Catinella, David &lt;dcatinella@statestreet.com&gt;;Rayo, Melanie &lt;MRayo@StateStreet.com&gt;, NG, Kerry &lt;WNg@StateStreet.com&gt;; KC Bus Sys Support &lt;KCBusSysSupport@StateStreet.com&gt;; sdmnetwork &lt;sdmnetwork@StateStreet.com&gt;; GTO Network &lt;GTONetwork@StateStreet.com&gt;; Seales, Brent &lt;Brent.Seales@statestreet.com&gt;; Vallatini, Ray &lt;RVallatini@StateStreet.com&gt;; Sewell, Robert J &lt;RJSewell@StateStreet.com&gt;; Lentini, Joseph A &lt;JALentini@StateStreet.com&gt;; Waithe, Lawrence &lt;LWaithe@StateStreet.com&gt;
</t>
  </si>
  <si>
    <t>Supports IM Portfolio Management and Consolidated Financial Accounting System applications</t>
  </si>
  <si>
    <t>cisco2900</t>
  </si>
  <si>
    <t>HCGS718444 WOM44955</t>
  </si>
  <si>
    <t>USR Modem 860-638-4782</t>
  </si>
  <si>
    <t>STATE STREET BANK | MPLS | MID-DS-L3-EDMZ-1 GIG2/0/15 | 206.213.202.62 DOESN’T ALLOW PING. CHECK INTERFACE ONLY. | MDC</t>
  </si>
  <si>
    <t>4/30 from Scot - State Street Bank connection inbound and should only be an NDM process.  We are in the process of working with the bank to move to a VPN process.
Double check the Partner Peer IP and CVS IP with firewall ops</t>
  </si>
  <si>
    <t>win-ds-l2-edmz-1 2/0/12</t>
  </si>
  <si>
    <t xml:space="preserve"> vendor router. 206.213.208.62 (Secondary on the router)  192.168.74.33 primary IP.</t>
  </si>
  <si>
    <t>206.213.209.198</t>
  </si>
  <si>
    <t>ToddHoward, HowardT4@AETNA.com            860-273-5791                            John Brennan,                  BrennanJ4@aetna.com        860-273-3609                             Scot Hougrand HougrandS@aetna.com    860-273-1420</t>
  </si>
  <si>
    <t>4/30 Scot Hougrand confirmed active status</t>
  </si>
  <si>
    <t xml:space="preserve">NOC 617-985-9205                    ,  David Catinella            617-537-0553 Catinella, David &lt;dcatinella@statestreet.com&gt;; NG, Kerry &lt;WNg@StateStreet.com&gt;; KC Bus Sys Support &lt;KCBusSysSupport@StateStreet.com&gt;; sdmnetwork &lt;sdmnetwork@StateStreet.com&gt;; GTO Network &lt;GTONetwork@StateStreet.com&gt;; Seales, Brent &lt;Brent.Seales@statestreet.com&gt;; Vallatini, Ray &lt;RVallatini@StateStreet.com&gt;; Sewell, Robert J &lt;RJSewell@StateStreet.com&gt;; Lentini, Joseph A &lt;JALentini@StateStreet.com&gt;; Waithe, Lawrence &lt;LWaithe@StateStreet.com&gt;
</t>
  </si>
  <si>
    <t>CISCO 2900</t>
  </si>
  <si>
    <t xml:space="preserve">    DHEC823066 ASZZ004931 </t>
  </si>
  <si>
    <t>Paradyne Imarc CSU</t>
  </si>
  <si>
    <t>Ralph Verified.  Att support validated router looks good. Sunday Crew, Mark Olsen is the manager on duty and our State Street network helpdesk number is 617-985-0700 reference SR # 14218669</t>
  </si>
  <si>
    <t>STATE STREET BANK | MPLS | WIN-DS-L2-EDMZ-1 2/0/12 | VENDOR ROUTER. 206.213.208.62 (SECONDARY ON THE ROUTER) 192.168.74.33 PRIMARY IP. | WDC</t>
  </si>
  <si>
    <t>Double check the Partner Peer IP and CVS IP with firewall ops</t>
  </si>
  <si>
    <t>stateofnj</t>
  </si>
  <si>
    <t>199.20.74.36</t>
  </si>
  <si>
    <t>STATEOFNJ | VPN | WIN-FW-VPN2 | 199.20.74.36 | WDC</t>
  </si>
  <si>
    <t>STATEofPA</t>
  </si>
  <si>
    <t xml:space="preserve">4.35.217.110 </t>
  </si>
  <si>
    <t>STATEOFPA | VPN | MID-FW-VPN2 | 4.35.217.110 | MDC</t>
  </si>
  <si>
    <t>4.35.217.106</t>
  </si>
  <si>
    <t>STATEOFPA | VPN | WIN-FW-VPN1 | 4.35.217.106 | WDC</t>
  </si>
  <si>
    <t xml:space="preserve">Staywell                              </t>
  </si>
  <si>
    <t>SHUT 05/08/19 CM0018341</t>
  </si>
  <si>
    <t xml:space="preserve">208.67.106.12  </t>
  </si>
  <si>
    <t>Jennifer Fisher - FisherJ2@aetna.com
Susan O'Donnell - ODonnellS1@aetna.com</t>
  </si>
  <si>
    <t xml:space="preserve">JoAnn Verweij - joann.verweij@staywell.com
Jay Isaacs - jisaacs@medimedia.com 
Daniel Nocito - dnocito@medimedia.com     </t>
  </si>
  <si>
    <t>Access to staywell web server</t>
  </si>
  <si>
    <t>STAYWELL | VPN | WIN-FW-VPN1 | 208.67.106.12 | WDC</t>
  </si>
  <si>
    <t xml:space="preserve">Sungard                               </t>
  </si>
  <si>
    <t xml:space="preserve">147.249.204.56 </t>
  </si>
  <si>
    <t>Eva Long - LongEJ@aetna.com</t>
  </si>
  <si>
    <t>No contact provided, work through Aetna business owner.</t>
  </si>
  <si>
    <t>https/ssh/Citrix access to SunGard AvantGard web servers</t>
  </si>
  <si>
    <t>SUNGARD | VPN | WIN-FW-VPN1 | 147.249.204.56 | WDC</t>
  </si>
  <si>
    <t>Taylor Communications</t>
  </si>
  <si>
    <t>69.84.141.4</t>
  </si>
  <si>
    <t>brett.peabody@taylortech.io, Andrew.Blosser@taylortech.io, Jeff Bourgery &lt;jbourgery@colospace.com&gt;, Falsone, Chris (TTS) &lt;Chris.Falsone@TaylorTech.io&gt;</t>
  </si>
  <si>
    <t>Empower Server</t>
  </si>
  <si>
    <t>TAYLOR COMMUNICATIONS | VPN | WIN-FW-VPN2 | 69.84.141.4 | WDC</t>
  </si>
  <si>
    <t>taylor-communications</t>
  </si>
  <si>
    <t>198.12.16.240</t>
  </si>
  <si>
    <t>TAYLOR-COMMUNICATIONS | VPN | WIN-FW-VPN2 | 198.12.16.240 | WDC</t>
  </si>
  <si>
    <t>Mid-ds-L3-EDMZ-1 1/0/26(router 1) 2/0/26 (router 2)</t>
  </si>
  <si>
    <t>TCS Mexico (Tata Consultancy)</t>
  </si>
  <si>
    <t>157.227.25.9 this the source IP for TCS Mexico MPLS resources           -------------(206.213.202.161 - old, needs to be validated w/ Firewall team)</t>
  </si>
  <si>
    <t>Skitromo, Ryan R &lt;SkitromoR@cvshealth.com&gt;; Stecyk, Robin &lt;rlstecyk@cvshealth.com,Motola, Jeffrey P &lt;MotolaJ@cvshealth.com&gt;; Kotenoglou, Konstantinos (Dino) &lt;kxkotenoglou@cvshealth.com&gt;; 
rlstecyk@cvshealth.com (new)
tapettapiece@cvshealth.com (new)</t>
  </si>
  <si>
    <t>4/29 initial email sent
5/11 eric followed up to get required info</t>
  </si>
  <si>
    <t>5/15 Partner confirmed connection was active with new name TCS Mexico in call and follow up email sent by Robin
4/29 Ryan Skitromo responded and gave us updated contacts to work with</t>
  </si>
  <si>
    <t xml:space="preserve">Faizan Elahi &lt;faizan.elahi@tcs.com&gt;; Ritesh Sharma &lt;ritesh.ksharma@tcs.com&gt;,Prajodh Eappen &lt;Prajodh.Eappen@tcs.com&gt;; CHALANA, Mr. PEYUSH (Peyush) &lt;peyush.chalana@tcs.com&gt;; Sivaraj  Selvarasu &lt;Sivaraj.Selvarasu@tcs.com&gt;; Shishir khare &lt;shishir.khare@tcs.com&gt;; Mukesh Gulati &lt;mukesh.gulati@tcs.com&gt;, </t>
  </si>
  <si>
    <t>transport layer for VDI/web-based access</t>
  </si>
  <si>
    <t>206.213.202.162</t>
  </si>
  <si>
    <t>TCS MEXICO (TATA CONSULTANCY) | MPLS | MID-DS-L3-EDMZ-1 1/0/26(ROUTER 1) 2/0/26 (ROUTER 2) | 157.227.25.9 THIS THE SOURCE IP FOR TCS MEXICO MPLS RESOURCES -------------(206.213.202.161 - OLD, NEEDS TO BE VALIDATED W/ FIREWALL TEAM) | MDC</t>
  </si>
  <si>
    <t>win-ds-l2-edmz-1 1/0/26(router 1) 2/0/26 (router 2)</t>
  </si>
  <si>
    <t>TCS Philippines (Tata Consultancy)</t>
  </si>
  <si>
    <t>10.250.174.0/25 - DATA
152.145.63.128/25 - Voice subnets</t>
  </si>
  <si>
    <t>Faizan Elahi &lt;faizan.elahi@tcs.com&gt;; Ritesh Sharma &lt;ritesh.ksharma@tcs.com&gt;,Prajodh Eappen &lt;Prajodh.Eappen@tcs.com&gt;; CHALANA, Mr. PEYUSH (Peyush) &lt;peyush.chalana@tcs.com&gt;; Sivaraj  Selvarasu &lt;Sivaraj.Selvarasu@tcs.com&gt;; Shishir khare &lt;shishir.khare@tcs.com&gt;; Mukesh Gulati &lt;mukesh.gulati@tcs.com&gt;</t>
  </si>
  <si>
    <t>4/29 Eric included this connection in initial email to updated contacts
5/11 eric followed up to get required info</t>
  </si>
  <si>
    <t>5/15 Partner confirmed connection was active and new name is TCS Philippines in call and follow up email sent by Robin
4/29 Ryan Skitromo responded and gave us updated contacts to work with</t>
  </si>
  <si>
    <t xml:space="preserve">Skitromo, Ryan R &lt;SkitromoR@cvshealth.com&gt;; Stecyk, Robin &lt;rlstecyk@cvshealth.com,Motola, Jeffrey P &lt;MotolaJ@cvshealth.com&gt;; Kotenoglou, Konstantinos (Dino) &lt;kxkotenoglou@cvshealth.com&gt;; </t>
  </si>
  <si>
    <t>transport layer for VDI/web-based access
Current URL's  Supported : - 
https://access.aetna.com
https://accessa.aetna.com
https://secureapps.caremark.com
https://secureapps.cvshealth.com |
https://remote.cvshealth.com/ |
https://remote.cvscaremark.com</t>
  </si>
  <si>
    <t>TCS PHILIPPINES (TATA CONSULTANCY) | MPLS | WIN-DS-L2-EDMZ-1 1/0/26(ROUTER 1) 2/0/26 (ROUTER 2) | 10.250.174.0/25 - DATA
152.145.63.128/25 - VOICE SUBNETS | WDC</t>
  </si>
  <si>
    <t>Teamsters</t>
  </si>
  <si>
    <t xml:space="preserve">SHUT 4/19/2018 CHG0081763       </t>
  </si>
  <si>
    <t xml:space="preserve">66.146.225.33  </t>
  </si>
  <si>
    <t>lsinger@aetna.com</t>
  </si>
  <si>
    <t>Robert Campling - rcampling@hammer.net</t>
  </si>
  <si>
    <t xml:space="preserve"> telnet access to Coventry IDX Servers</t>
  </si>
  <si>
    <t>TEAMSTERS | VPN | WIN-FW-VPN1 | 66.146.225.33 | WDC</t>
  </si>
  <si>
    <t>201.151.149.170</t>
  </si>
  <si>
    <t>6/1 at 2:30pm - Looped in offshore POCs (Madhav and Rishi) to assist.</t>
  </si>
  <si>
    <t>rajkumar1.b@tcs.com
VIKAS PHOGAT - vikas.phogat@tcs.com - Ph:- +91 124 6214732 - Cell:- 9971793557</t>
  </si>
  <si>
    <t>TCS_MX | VPN | 201.151.149.170 | PDX</t>
  </si>
  <si>
    <t>Crypto ACL: TCS_MX_PRI_ACL
Cipher: AES256-SHA256
PFS Group: group14
SA Lifetime: 8h
Partner Side ARIN: Alestra, S. de R.L. de C.V.</t>
  </si>
  <si>
    <t>win-ds-l2-edmz-1 1/0/17 primary 1/0/20 secondary</t>
  </si>
  <si>
    <t>Tech Mahindra</t>
  </si>
  <si>
    <t>vlan 112 206.213.208.186 HSRP 206.213.208.187 Rtr #1</t>
  </si>
  <si>
    <t xml:space="preserve">Yogesh Rane &lt;yogeshkr@TechMahindra.com&gt;; 
'Brijesh Singh -' &lt;Brijesh@TechMahindra.com&gt;; 
Basavaraju.Rudra@TechMahindra.com; (new)
maheshg@TechMahindra.com; (new)
</t>
  </si>
  <si>
    <t>4/27 initial outreach sent to partner.  No CVS contacts found in directory for this connection
5/8 Eric sent follow up since no reply to original</t>
  </si>
  <si>
    <t>5/8 CVS contact (Craig Fioravanti) and partner validated that connections are no longer active</t>
  </si>
  <si>
    <t xml:space="preserve">, </t>
  </si>
  <si>
    <t>Cisco 4221</t>
  </si>
  <si>
    <t xml:space="preserve"> Cable 759881)</t>
  </si>
  <si>
    <t xml:space="preserve">Maertens, Steven &lt;semaertens@aetna.com&gt;,Fioravanti, Craig J &lt;FioravantiC@cvshealth.com&gt;; </t>
  </si>
  <si>
    <t>TECH MAHINDRA | MPLS | MID-DS-L3-EDMZ-1 1/0/17(ROUTER 1) 2/0/20 (ROUTER 2) | 206.213.202.113 | MDC</t>
  </si>
  <si>
    <t>Mid-ds-L3-EDMZ-1 1/0/17(router 1) 2/0/20 (router 2)</t>
  </si>
  <si>
    <t xml:space="preserve"> 206.213.202.113</t>
  </si>
  <si>
    <t>4/29 initial email sent
5/8 Eric sent follow up since no reply to original</t>
  </si>
  <si>
    <t xml:space="preserve">Anirban Chakrabarti &lt;chakrabarti.anirban@techmahindra.com&gt;; 'Alok Kumar' &lt;alokku@TechMahindra.com&gt;; Yogesh Rane &lt;yogeshkr@TechMahindra.com&gt;; 'Brijesh Singh -' &lt;Brijesh@TechMahindra.com&gt;; 'Suyog Pawase -' &lt;suyog@TechMahindra.com&gt;; 'Santosh Tekulapally -' &lt;Santosh.Tekulapally@TechMahindra.com&gt;; , </t>
  </si>
  <si>
    <t>206.213.208.114</t>
  </si>
  <si>
    <t>TECH MAHINDRA | MPLS | WIN-DS-L2-EDMZ-1 1/0/17 PRIMARY 1/0/20 SECONDARY | VLAN 112 206.213.208.186 HSRP 206.213.208.187 RTR #1 | WDC</t>
  </si>
  <si>
    <t>Texas-Mutual</t>
  </si>
  <si>
    <t xml:space="preserve">198.136.250.65  </t>
  </si>
  <si>
    <t>Heather Tomhave - hatomhave@FirstHealth.com</t>
  </si>
  <si>
    <t>Wanda Moore wmoore@texasmutual.com
Darren Huntington dhuntington@texasmutual.com
Ed Humes ehumes@texasmutual.com</t>
  </si>
  <si>
    <t>texas-mutual http</t>
  </si>
  <si>
    <t>TEXAS-MUTUAL | VPN | MID-FW-VPN1 | 198.136.250.65 | MDC</t>
  </si>
  <si>
    <t>thoughtspot</t>
  </si>
  <si>
    <t>54.173.185.192 54.164.118.131</t>
  </si>
  <si>
    <t>THOUGHTSPOT | VPN | WIN-FW-VPN2 | 54.173.185.192 54.164.118.131 | WDC</t>
  </si>
  <si>
    <t>TimeTrade</t>
  </si>
  <si>
    <t>SHUT 5/08/2019CHG0117052 CM0017929</t>
  </si>
  <si>
    <t>52.73.101.200</t>
  </si>
  <si>
    <t>Brian Cooper  bcooper@timetrade.com Maria Coviello mcoviello@timetrade.com</t>
  </si>
  <si>
    <t>aetna outlook connector</t>
  </si>
  <si>
    <t>TIMETRADE | VPN | MID-FW-VPN1 | 34.230.252.244/32 (PROD),34.208.132.122/32 (DR) | MDC</t>
  </si>
  <si>
    <t>34.230.252.244/32 (Prod),34.208.132.122/32 (DR)</t>
  </si>
  <si>
    <t>Darcy and  Ilker Aydin   -  No Vendor contacts</t>
  </si>
  <si>
    <t xml:space="preserve">Brian Cooper &lt;bcooper@timetrade.com&gt; </t>
  </si>
  <si>
    <t>Primary or Backup I2I VPN</t>
  </si>
  <si>
    <t>TIMETRADE | VPN | MID-FW-VPN1 | 52.73.101.200 | MDC</t>
  </si>
  <si>
    <t>transamerican-ipsec</t>
  </si>
  <si>
    <t>207.137.9.253</t>
  </si>
  <si>
    <t>TRANSAMERICAN-IPSEC | VPN | MID-FW-VPN1 | 207.137.9.253 | MDC</t>
  </si>
  <si>
    <t>Transcentra - Napa</t>
  </si>
  <si>
    <t xml:space="preserve">216.9.112.254  </t>
  </si>
  <si>
    <t>Donna Guglielmo - GuglielmoDM@aetna.com
Lisa Burnett - lamiller1@aetna.com</t>
  </si>
  <si>
    <t>William Coady - william.coady@transcentra.com</t>
  </si>
  <si>
    <t>FTP Transfers Between Coventry Boris and Transcentra Servers</t>
  </si>
  <si>
    <t>TRANSCENTRA - NAPA | VPN | WIN-FW-VPN1 | 216.9.112.254 | WDC</t>
  </si>
  <si>
    <t>Transcentra Charlotte</t>
  </si>
  <si>
    <t>SHUT 2/08/2019CHG01170216 CM0017929</t>
  </si>
  <si>
    <t xml:space="preserve">216.9.124.254 </t>
  </si>
  <si>
    <t xml:space="preserve">Primary - Donna Guglielmo A785716 
Secondary - Lisa Burnett A610931
Dick, Mary-Eileen &lt;mxbonin@aetna.com&gt; 
Latina, Frank &lt;frlatina@aetna.com&gt; </t>
  </si>
  <si>
    <t>William Coady William.Coady@transcentra.com (515) 635-6531</t>
  </si>
  <si>
    <t>FTP Transfers Between Coventry Boris
 and Transcentra Servers</t>
  </si>
  <si>
    <t>TRANSCENTRA CHARLOTTE | VPN | MID-FW-VPN1 | 216.9.124.254 | MDC</t>
  </si>
  <si>
    <t>TTEC Austin</t>
  </si>
  <si>
    <t>4.14.63.194</t>
  </si>
  <si>
    <t>zzzISEngineering@teletech.com</t>
  </si>
  <si>
    <t>TTEC AUSTIN | VPN | MID-FW-VPN1 | 4.14.63.194 | MDC</t>
  </si>
  <si>
    <t>TTEC Denver</t>
  </si>
  <si>
    <t>8.8.243.10</t>
  </si>
  <si>
    <t>TTEC DENVER | VPN | MID-FW-VPN1 | 8.8.243.10 | MDC</t>
  </si>
  <si>
    <t>UPS</t>
  </si>
  <si>
    <t>208.14.182.1</t>
  </si>
  <si>
    <t xml:space="preserve">Lyew-Willis, Corine N </t>
  </si>
  <si>
    <t xml:space="preserve">msherman@ups.com </t>
  </si>
  <si>
    <t>FTP</t>
  </si>
  <si>
    <t>UPS | VPN | MID-FW-VPN2 | 208.14.182.1 | MDC</t>
  </si>
  <si>
    <t>Oak Street Health</t>
  </si>
  <si>
    <t>OAK STREET HEALTH | MPLS | RI</t>
  </si>
  <si>
    <t>HDMS</t>
  </si>
  <si>
    <t>Other</t>
  </si>
  <si>
    <t>12.191.200.3</t>
  </si>
  <si>
    <t>Herman Nord - HNord@cvshealth.com - 401-770-1713 (Email no longer valid)</t>
  </si>
  <si>
    <t>6/1 at 10:11am - initial partner contact email (undelivered)</t>
  </si>
  <si>
    <t>Lakshmi Indlamuri - lindlamuri@hdms.com - O: 312-881-1817 | C: 312-835-0747 (undelivered)</t>
  </si>
  <si>
    <t>HDMS | VPN | 12.191.200.3 | SHEA</t>
  </si>
  <si>
    <t>6/1: Neither partner email or CVS contact are valid but connection is listed as Active. Moving to Other until resolved.
5/29: Reverting back to Active from Decom as FW Ops team confirmed there is active traffic over the connection. Reach out to POC to confirm.
Group Policy: HDMS
Crypto ACL: HDMS
Cipher: ESP-AES-256-SHA
PFS Group: None
SA Lifetime: 8h
Partner Side ARIN: AETNA LIFE INSURANCE COMPANY —</t>
  </si>
  <si>
    <t>AccumTech</t>
  </si>
  <si>
    <t>205.145.128.209</t>
  </si>
  <si>
    <t>IKEv1</t>
  </si>
  <si>
    <t>ACCUMTECH | VPN | 205.145.128.209 | SHEA</t>
  </si>
  <si>
    <t>4/30: Firewall Ops team confirmed this connection is active, however there are still no CVS or Partner contacts listed.
Crypto ACL: Outside_cryptomap_184
Cipher: ESP-AES-128-SHA, ESP-AES-128-MD5
PFS Group: None
SA Lifetime: Default,Engineering team may have the details .</t>
  </si>
  <si>
    <t>Cover_My_Meds</t>
  </si>
  <si>
    <t>128.136.204.97</t>
  </si>
  <si>
    <t xml:space="preserve">Mary Rogan - mary.rogan@cvshealth.com - 847-484-8436 (No response from her)
Craig Dreilling
</t>
  </si>
  <si>
    <t>1/7 at 12:20pm
2/10 at 1:48pm
3/24 at 11:24am - Initial email to Lisa Durden sent by Tori Ekonomy (for RelayHealth)
4/20 at 1:50pm - Eric sent follow up to updated CVS contacts (Pauline and Ewelina)
4/27 Eric messaged CMM/RelayHealth to confirm connection status</t>
  </si>
  <si>
    <t>3/24 at 2:26pm - McKesson response saying we need direct CVS confirmation
4/23 at 1:44pm - RelayHealth contacts identified for CVS and RelayHealth, mentioned Eric to message the partner to get required information
4/27 at 12:52pm McKesson contact (owner of CMM) confirmed MPLS connection.  Required that we complete the CMM Dual Circuit Worksheet as a pre-check for all the tech specs of the migration.
4/27 at 2:13pm Paul confirmed RelayHealth should be named CMM, MPLS connection.  No VPN connection exists with CVS so changing status to Cover_My_Meds VPN connection to decommissioned</t>
  </si>
  <si>
    <t xml:space="preserve">Vicki Muscarella vmuscarella@covermymeds.com
Hannah Spagnola Hspagnola@covermymeds.com
Victoria Hawkins VHawkins@covermymeds.com
</t>
  </si>
  <si>
    <t>COVER_MY_MEDS | VPN | 128.136.204.97 | SHEA</t>
  </si>
  <si>
    <t>4/30 status: Partner indicates no active/shared VPN and considers this connection decommissioned; however, Firewall Ops still sees the tunnel as active on the firewall (possibly legacy/migrated config). Marked as Other pending joint validation with Firewall Ops and confirmation of formal decommissioning.
Paul confirmed RelayHealth should be named CMM, MPLS connection.  No VPN connection exists with CVS so changing status to Cover_My_Meds VPN connection to decommissioned
This is the vendor that bought RelayHealth.
Crypto ACL: Outside_cryptomap_192
Cipher: ESP-AES-128-SHA, ESP-AES-128-MD5
PFS Group: None
SA Lifetime: 8h</t>
  </si>
  <si>
    <t>ExamOne</t>
  </si>
  <si>
    <t>216.203.80.98</t>
  </si>
  <si>
    <t>EXAMONE | VPN | 216.203.80.98 | SHEA</t>
  </si>
  <si>
    <t>4/30: Firewall Ops team confirmed this connection is active, however there are still no CVS or Partner contacts listed.
Goes out to Quest Diagnostics, Inc.
Crypto ACL: Outside_cryptomap_154
Cipher: ESP-AES-256-SHA
PFS Group: None
SA Lifetime: 1h</t>
  </si>
  <si>
    <t>Highmark</t>
  </si>
  <si>
    <t>07.Migration Scheduled</t>
  </si>
  <si>
    <t>157.154.11.1</t>
  </si>
  <si>
    <t>Mitchell Super - Mitchell.Super@CVSHealth.com - 480/391-4511</t>
  </si>
  <si>
    <t>4/22 at 11:46am</t>
  </si>
  <si>
    <t>shane.brown@highmark.com; Jody.campbell@highmark.com; david.hulings@highmark.com; Brittany.Reitler@highmark.com</t>
  </si>
  <si>
    <t>HIGHMARK | VPN | 157.154.11.1 | SHEA</t>
  </si>
  <si>
    <t>4/30: Firewall Ops team confirmed this connection is active, however there are still no CVS or Partner contacts listed.
Crypto ACL: Outside_cryptomap_174
Cipher: ESP-AES-128-SHA, ESP-AES-128-MD5
PFS Group: group5
SA Lifetime: 1h</t>
  </si>
  <si>
    <t>horizon</t>
  </si>
  <si>
    <t>162.212.53.1</t>
  </si>
  <si>
    <t>Norwood Conway, Conway.Norwood@CVSHealth.com - Not aware of this connection</t>
  </si>
  <si>
    <t>1/30 at 10:31am
4/28 at 4:05pm - Initial partner contact outreach (not delivered)</t>
  </si>
  <si>
    <t xml:space="preserve"> Maheswaran K
Horizon Mainframe Network Support Team - HZN-MF-Network@horizonblue.com - (973) 466-5561 (email is valid but blocks our email)</t>
  </si>
  <si>
    <t>HORIZON | VPN | 162.212.53.1 | PDX</t>
  </si>
  <si>
    <t>4/30: Firewall Ops team confirmed this connection is active, however there are still no CVS or Partner contacts listed.
Crypto ACL: horizon-new-jersey
Cipher: ESP-AES-256-SHA
PFS Group: None
SA Lifetime: Default</t>
  </si>
  <si>
    <t>ivans</t>
  </si>
  <si>
    <t>208.79.198.110</t>
  </si>
  <si>
    <t>IVANS | VPN | 208.79.198.110 | SHEA</t>
  </si>
  <si>
    <t>4/30: Firewall Ops team confirmed this connection is active, however there are still no CVS or Partner contacts listed.
Crypto ACL: Outside_cryptomap_99
Cipher: ESP-AES-256-SHA
PFS Group: group2
SA Lifetime: 1h</t>
  </si>
  <si>
    <t>Moxie_OR_AWS</t>
  </si>
  <si>
    <t>35.164.80.211</t>
  </si>
  <si>
    <t>MOXIE_OR_AWS | VPN | 35.164.80.211 | SHEA</t>
  </si>
  <si>
    <t>4/30: Firewall Ops team confirmed this connection is active, however no CVS or Partner contacts validated the status previously.
Crypto ACL: CVS_AZ_Moxie_OR_AWS</t>
  </si>
  <si>
    <t>3.230.26.244</t>
  </si>
  <si>
    <t>PEGA | VPN | 3.230.26.244 | SHEA</t>
  </si>
  <si>
    <t>4/30: Firewall Ops team confirmed this connection is active, however no CVS or Partner contacts validated the status previously.
Crypto ACL: CVS-PEGA-TEST
Cipher: AES256-SHA256
PFS Group: group2
SA Lifetime: 1h</t>
  </si>
  <si>
    <t>Premera-Prod</t>
  </si>
  <si>
    <t>199.187.89.10</t>
  </si>
  <si>
    <t>PREMERA-PROD | VPN | 199.187.89.10 | SHEA</t>
  </si>
  <si>
    <t>4/30: Firewall Ops team confirmed this connection is active, however no contact validated
Crypto ACL: premera-prod
Cipher: AES256-SHA256
PFS Group: group21
SA Lifetime: 1h</t>
  </si>
  <si>
    <t>Premera-Test</t>
  </si>
  <si>
    <t>199.187.89.11</t>
  </si>
  <si>
    <t>PREMERA-TEST | VPN | 199.187.89.11 | SHEA</t>
  </si>
  <si>
    <t>4/30: Firewall Ops team confirmed this connection is active, however no contact validated
Crypto ACL: premera-test
Cipher: AES256-SHA256
PFS Group: group21
SA Lifetime: 1h</t>
  </si>
  <si>
    <t>RMK</t>
  </si>
  <si>
    <t>124.6.128.38</t>
  </si>
  <si>
    <t>Daniel Cornille - Daniel.Cornille@cvshealth.com - +18474849549</t>
  </si>
  <si>
    <t>1/28 at 1:50pm
4/24 at 1:43pm - Sent email to partner contacts - emails didn't exist</t>
  </si>
  <si>
    <t>1/28 at 2:25pm - Daniel Cornille is not the correct contact. He does not know who the correct contact would be.</t>
  </si>
  <si>
    <t>Charisse Divine - charisse.chosantos@pointwest.com (email doesn't exist)
John Mattaliano - jmatt@rmkconsulting.com  -  (940) - 914 - 6406  (email doesn't exist)</t>
  </si>
  <si>
    <t>RMK | VPN | 124.6.128.38 | SHEA</t>
  </si>
  <si>
    <t>4/30: Firewall Ops team confirmed this connection is active, however no CVS or Partner contacts validated the status previously.
Crypto ACL: Outside_cryptomap_207
Cipher: ESP-AES-128-SHA, ESP-AES-128-MD5
PFS Group: None
SA Lifetime: Default
Partner Side: Globe Telecom (GMCR,INC)</t>
  </si>
  <si>
    <t>RMK_PointWest</t>
  </si>
  <si>
    <t>210.213.230.213</t>
  </si>
  <si>
    <t>1/28 at 1:50pm
4/24 at 1:43pm - Sent email to partner contacts, emails didn't exist</t>
  </si>
  <si>
    <t>Charisse Divine - charisse.chosantos@pointwest.com (email does not exist)
John Mattaliano - jmatt@rmkconsulting.com  -  (940) - 914 - 6406  (email does not exist)</t>
  </si>
  <si>
    <t>RMK_POINTWEST | VPN | 210.213.230.213 | SHEA</t>
  </si>
  <si>
    <t xml:space="preserve">4/30: Firewall Ops team confirmed this connection is active, however no CVS or Partner contacts validated the status previously.
Crypto ACL: Outside_cryptomap_206
Cipher: ESP-AES-128-SHA, ESP-AES-128-MD5
PFS Group: None
SA Lifetime: Default
Partner Side ARIN:  PLDT APNIC NOC
</t>
  </si>
  <si>
    <t>TELEPERFORMANCE</t>
  </si>
  <si>
    <t>208.80.226.245</t>
  </si>
  <si>
    <t>12.46.119.234,204.99.19.73(Active)</t>
  </si>
  <si>
    <t xml:space="preserve">JoAnn Ercoli - JoAnn.Ercoli@CVSHealth.com - 4017706309	
</t>
  </si>
  <si>
    <t>4/27 at 11:34am - Initial email to partner contacts</t>
  </si>
  <si>
    <t>Dhiren Bohra - Dhiren.Bohra@teleperformancedibs.com - +91 98 2041-0370 
Lawrence Reinholt - jay.reinholt@teleperformance.com - (480) 492-7149
Jay Reinholt  - jay.reinholt@teleperformance.com - +1 757 389 2313</t>
  </si>
  <si>
    <t>TELEPERFORMANCE | VPN | 208.80.226.245 | SHEA</t>
  </si>
  <si>
    <t>4/30: Firewall Ops team confirmed this connection is active, however no CVS or Partner contacts validated the status previously.
Crypto ACL: TELEPERFORMANCE_ACL
Cipher: AES256-SHA256
PFS Group: group14
SA Lifetime: 8h
Partner Side ARIN: TELEPERFORMANCE USA</t>
  </si>
  <si>
    <t>Transplace_scandata</t>
  </si>
  <si>
    <t>65.64.216.251</t>
  </si>
  <si>
    <t>TRANSPLACE_SCANDATA | VPN | 65.64.216.251 | SHEA</t>
  </si>
  <si>
    <t>4/30: Firewall Ops team confirmed this connection is active, however no CVS or Partner contacts validated the status previously.
Crypto ACL: Outside_cryptomap_233
Cipher: AES256-SHA256
PFS Group: group5
SA Lifetime: Default
Partner Side ARIN: Transplace</t>
  </si>
  <si>
    <t>OAK STREET HEALTH | MPLS | SHEA</t>
  </si>
  <si>
    <t>Communication ongoing with vendors - June/July timeframe</t>
  </si>
  <si>
    <t>Ramsey, Karen &lt;Karen.Ramsey@Omnicare.com&gt;; 
Mirarchi, Guerino &lt;Guerino.Mirarchi@CVSHealth.com&gt;; 
Kuehl, Matthew &lt;matt.kuehl@omnicare.com&gt;; 
Allen, Scott (RTL) &lt;ScottIT.Allen@omnicare.com&gt;; 
Weiss, Thomas &lt;Tom.Weiss@omnicare.com&gt;</t>
  </si>
  <si>
    <t>Shawn Butler</t>
  </si>
  <si>
    <t>CVS OWN Company</t>
  </si>
  <si>
    <t>OMNICARE | MPLS | SHEA</t>
  </si>
  <si>
    <t xml:space="preserve">5/6: Status confirmed by Kartheek Cheenepali as part of Firewall team migrations (scheduled for firewall migration not colo migration) - Scheduled for migration
-Can be decomm or need more discussion with Network Arch Team - Richard A. </t>
  </si>
  <si>
    <t>Opera</t>
  </si>
  <si>
    <t>Anna Slizanna.przeczek@cvshealth.com</t>
  </si>
  <si>
    <t>4/30 response back from Shaun (Anna's team member) that mentioned their IT team that monitors all Carelon’s IT system connections confirmed Opera does not apply for CarelonRx.  No contacts were identified to confirm its status</t>
  </si>
  <si>
    <t>OPERA | MPLS | RI</t>
  </si>
  <si>
    <t>5/6: Status confirmed by Kartheek Cheenepali as part of Firewall team migrations (scheduled for firewall migration not colo migration) - Communication ongoing with vendors</t>
  </si>
  <si>
    <t>Partner</t>
  </si>
  <si>
    <t>PARTNER | MPLS | SHEA</t>
  </si>
  <si>
    <t>6/10: Confirmed decommissioned connection from Andy Le's FW Inventory tracker
5/6: Status confirmed by Kartheek Cheenepali as part of Firewall team migrations (scheduled for firewall migration not colo migration) - Communication ongoing with vendors</t>
  </si>
  <si>
    <t>QS1(RedSail)</t>
  </si>
  <si>
    <t>204.99.4.81</t>
  </si>
  <si>
    <t>Heather Graham and Eddie Brady-Wakimoto</t>
  </si>
  <si>
    <t>4/15 emailed partner(s) to identify additional connection metadata and validate status.  
4/17 re-engaged Joe Smith to get current data on the MPLS circuit</t>
  </si>
  <si>
    <t>4/10 Steven Stirling filled out data sheet for RxClaim connection.  Validated active connection. 
4/15 Joe Smith asked if it's possible to migrate to a VPN based connection over a MPLS circuit
4/22 Joe Smith confirmed Location, Interfaced app (Caremark), Client (unsure), and CVS contacts for QS1.</t>
  </si>
  <si>
    <t xml:space="preserve">"Joe Smith"&lt;joe.smith@redsailtechnologies.com&gt;
"Kevin Crowe"&lt;Kevin.Crowe@redsailtechnologies.com&gt;"
</t>
  </si>
  <si>
    <t>RxClaim
NCPDP Claims Adjudication (Caremark)</t>
  </si>
  <si>
    <t>QS1(REDSAIL) | MPLS | 204.99.4.81 | SHEA</t>
  </si>
  <si>
    <t>4/10: Steven Stirling shared info.  MPLS circuit installed directly in CVS data center; partner contacts shared (Joe Smith, Kevin Crowe)</t>
  </si>
  <si>
    <t>RelayHealth</t>
  </si>
  <si>
    <t>Migration communications ongoing with vendor. June migration timeframe</t>
  </si>
  <si>
    <t>Caswell, Pauline &lt;Pauline.Caswell@CVSHealth.com&gt;
Smith, Ewelina &lt;Ewelina.Smith@CVSHealth.com&gt; Clifford.Ledoux@CVSHealth.com; Adam.Souza@CVSHealth.com; Christopher.Thompson@CVSHealth.com; att_stratus_edl@CVSHealth.com; Sonum.Chadha2@CVSHealth.com; Bodhisatwa.Mukhopadhyay@CVSHealth.com; Hugo.Teixeira@CVSHealth.com; John.Simon@CVSHealth.com; Benjamin.Selagea@CVSHealth.com;</t>
  </si>
  <si>
    <t>3/24 at 11:24am - Initial email to Lisa Durden sent by Tori Ekonomy
4/20 at 1:50pm - Eric sent follow up to updated CVS contacts (Pauline and Ewelina)
4/27 Eric messaged CMM/RelayHealth to confirm connection status</t>
  </si>
  <si>
    <t>Updated contacts: 
Becca Yound - Payerswitchacctops@McKesson.com;
- 2025-05-28  - Relay Health's Randy Stevens manages all connections between Relay Health and their customers. CVS Health is a customer of Relay Health. Caremark is likely also a customer of Relay Health.
2024-11-07 - 
- a) Relay Health NOC Manager: Bill Oliver, bill.oliver@mckesson.com
- b) Relay Health Sr. Network Engineer/Sr. Telecommunications Specialist: Paul Schoen, (404) 728-2625, paul.schoen@relayhealth.com
2024-02-21 -  CVS Health person that owns the business relationship with Relay Health: David Ramos (401) 770-7571, david.ramos@cvshealth.com
2023-12-05
     PRIMARY CONTACTS for Problem Reporting/Support - PLEASE TRY ALL OF THEM!
     Relay Health 24/7 NOC (Network Operations Center)
     1. Phone: (404) 728-2570 AND e-mail: network.ops@mckesson.com (Recommend to use phone and e-mail)
     2. Cory Peterson (Cover My Meds/McKesson) Phone: (844) 621-3956
     3. Relay Health Business Manager/Relationship Manager: Jamaal Beckwith: e-mail: Jamaal.Beckwith@McKesson.com
Payerswitchacctops@McKesson.com - main email (Becca Young on the other side as POC)
Lisa.Durden@relayhealth.com - Main RelayHealth POC
Bill Oliver, Bill.Oliver@relayhealth.com
Korey Peterson, Korey.Peterson@RelayHealth.com</t>
  </si>
  <si>
    <t>RELAYHEALTH | MPLS | SHEA</t>
  </si>
  <si>
    <t>1. CMM = Cover My Meds (formerly known as or now part of Relay Health/McKesson)
2. Relay Health owns and manages the connectivity between the 1 CVS Drive data center and Relay Health facilities.
3. Relay Health owns and manages the connectivity between the 9501 East Shea Blvd., Scottsdale, AZ data center and Relay Health facilities.
4. Please cc ATT STRATUS (att_stratus_edl@cvshealth.com) on all correspondence regarding this subject because we (ATT STRATUS) will need to validated pharmacy claims processing through the CVS Health Stratus OLTP (online transaction processing) systems at the appointed time (whenever that may be).
5. Please find the following (from my unofficial Cliff Notes) helpful to you.</t>
  </si>
  <si>
    <t>RXConnectDR</t>
  </si>
  <si>
    <t>RXCONNECTDR | MPLS | SHEA</t>
  </si>
  <si>
    <t>Up</t>
  </si>
  <si>
    <t>170.251.232.6</t>
  </si>
  <si>
    <t>Active on AZ-204.99.19.73, RI-12.46.119.234 and Mid-fw-vpn2-206.213.251.41</t>
  </si>
  <si>
    <t>Elizabeth Kugler - elizabeth.kugler@cvshealth.com - no longer the account owner
Christopher Haynes - christopher.haynes@cvshealth.com - new account owner</t>
  </si>
  <si>
    <t>12/18 4:27pm
3/4 at 3:49pm - asked christopher hayes about application info</t>
  </si>
  <si>
    <t>12/22 at 3:59pm - Chris Haynes is the new POC. Confirmed this is still needed and in use.</t>
  </si>
  <si>
    <t>E-mail: Kunal.E.Singh@accenture.com 
Hand Phone: +91.998.631.7889</t>
  </si>
  <si>
    <t>ACCENTURE | VPN | 144.36.170.8 | SHEA</t>
  </si>
  <si>
    <t>Crypto ACL: Outside_cryptomap_210
Cipher: ESP-AES-128-SHA, ESP-AES-128-MD5
PFS Group: None
SA Lifetime: Default</t>
  </si>
  <si>
    <t>Verscend</t>
  </si>
  <si>
    <t>66.133.113.149</t>
  </si>
  <si>
    <t>Garmell Hudson hudsong@aetna.com 407-984-3168</t>
  </si>
  <si>
    <t>Ryan Hadley 919-313-1661 919-434-4144 ryan.hadley@verscend.com</t>
  </si>
  <si>
    <t>Aetna ACAS Svrs, Verscend VIPs</t>
  </si>
  <si>
    <t>VERSCEND | VPN | WIN-FW-VPN1 | 66.133.113.149 | WDC</t>
  </si>
  <si>
    <t>vistartech</t>
  </si>
  <si>
    <t>209.213.103.70</t>
  </si>
  <si>
    <t>Jim Gifford 888-266-4532, EXT 120 jgifford@vistartech.com 
support@vistartech.com 888-266-4532 (ext. 3 from 8:30-5:30 eastern, ext 128 after hours)</t>
  </si>
  <si>
    <t>Daniella Kittridge 860-273-5963 jgifford@vistartech.com</t>
  </si>
  <si>
    <t>vistartech db / web servers</t>
  </si>
  <si>
    <t>VISTARTECH | VPN | WIN-FW-VPN1 | 209.213.103.70 | WDC</t>
  </si>
  <si>
    <t>accenture-dr-manila</t>
  </si>
  <si>
    <t>down</t>
  </si>
  <si>
    <t>144.36.139.6</t>
  </si>
  <si>
    <t>Todd - todd.e.efthimiou@accenture.com - 415-537-4644</t>
  </si>
  <si>
    <t>ACCENTURE-DR-MANILA | VPN | 144.36.139.6 | SHEA</t>
  </si>
  <si>
    <t>accenture-ntta</t>
  </si>
  <si>
    <t>backup of CHC</t>
  </si>
  <si>
    <t>170.251.233.6</t>
  </si>
  <si>
    <t>Active on AZ-204.99.19.73, RI-12.46.119.234 and Win-fw-vpn1-206.213.209.29</t>
  </si>
  <si>
    <t>todd.e.efthimiou@accenture.com - 415-537-4644
Kunal.E.Singh@accenture.com  Hand Phone: +91.998.631.7889</t>
  </si>
  <si>
    <t>ACCENTURE-NTTA | VPN | 170.251.233.6 | SHEA</t>
  </si>
  <si>
    <t>Crypto ACL: Outside_cryptomap_128
Cipher: ESP-AES-256-SHA
PFS Group: None
SA Lifetime: 1h</t>
  </si>
  <si>
    <t>accenture-sanantonio</t>
  </si>
  <si>
    <t>144.36.40.4</t>
  </si>
  <si>
    <t>Arvind Kumar -    +44 (0) 7824383828 -    arvind.kumar.s@accenture.com</t>
  </si>
  <si>
    <t>ACCENTURE-SANANTONIO | VPN | 144.36.40.4 | SHEA</t>
  </si>
  <si>
    <t>216.118.182.170</t>
  </si>
  <si>
    <t>James Woods - James.Woods@CVSHealth.com (correct POC)
Jessica Campos - Jessica.Campos@CVSHealth.com - 480-239-7568 (Not the correct contact)
Jessica.campos@oakstreethealth.com</t>
  </si>
  <si>
    <t xml:space="preserve">Manny Rodgers - manuel.rodgers@bcbsma.com - 617-246-4466
NetworkGroup@bcbsma.com
</t>
  </si>
  <si>
    <t>Outbound (BCBSMA-&gt;CVS)</t>
  </si>
  <si>
    <t>apps.caremark.com</t>
  </si>
  <si>
    <t>BCBSMA | VPN | 216.118.190.70 | SHEA</t>
  </si>
  <si>
    <t>Blue Cross Blue Shields of Massachusetts
Crypto ACL: Outside_cryptomap_146
Cipher: ESP-AES-128-SHA, ESP-AES-128-MD5
PFS Group: group2
SA Lifetime: Default</t>
  </si>
  <si>
    <t>BCBST</t>
  </si>
  <si>
    <t>45.43.101.60</t>
  </si>
  <si>
    <t>Steven Sterling - steven.sterling@cvshealth.com - 469-422-8094
Conway Norwood - conway.norwood@cvshealth.com - 480-236-8207</t>
  </si>
  <si>
    <t>1/30 at 10:31am</t>
  </si>
  <si>
    <t>1/30 at 11;03am - Conway Norwood confirmed this connection is active and needed.</t>
  </si>
  <si>
    <t>Bill Brooks – William_brooks@bcbst.com
David Fraker – David_fraker@bcbst.com
Nadeem Khan – Nadeem_khan@bcbst.com
Bobbie Clack – bobbie_clack@bcbst.com</t>
  </si>
  <si>
    <t>BCBST | VPN | 45.43.101.60 | SHEA</t>
  </si>
  <si>
    <t>Group Policy: BCBST_grp_policy
Crypto ACL: Outside_cryptomap_231
Cipher: ESP-AES-256-SHA
PFS Group: group2
SA Lifetime: Default</t>
  </si>
  <si>
    <t>67.98.187.60</t>
  </si>
  <si>
    <t>BCBST | VPN | 67.98.187.60 | SHEA</t>
  </si>
  <si>
    <t>BSC-CA</t>
  </si>
  <si>
    <t>165.253.34.140</t>
  </si>
  <si>
    <t>Doreen Stables - doreen.stables@cvshealth.com - legacy contact
Sherri Zarra - sherri.zarra@cvshealth.com - new POC</t>
  </si>
  <si>
    <t>12/22 at 1:39pm - Looping in Sherri Zarra
12/22 at 1:43pm - Confirmed receipt. Sherri is the correct POC. She needs time to research
3/9 at 1:29pm - Call w/ Parsia to go over CVS migration, BCBS status and connection tracking. Confirmed BSC-CA is active and will loop in contacts for other BCBS instances.
4/13 - Sherry is working with the client to determine an end date</t>
  </si>
  <si>
    <t>Rebecca MacGillvray Rebecca.MacGillivray@blueshieldca.com 714.428.4858
Jackie Shaffer jackie.shaffer@cvshealth.com 412-639-1594
David R Gerry drgerry@dstsystems.com 816.843.5836</t>
  </si>
  <si>
    <t>BSC-CA | VPN | 165.253.34.140 | SHEA</t>
  </si>
  <si>
    <t>Group Policy: BlueShield-California
Crypto ACL: Outside_cryptomap_225
Cipher: Cognizant-Transform, AES256
PFS Group: group5
SA Lifetime: Default</t>
  </si>
  <si>
    <t>Cardinal</t>
  </si>
  <si>
    <t>199.230.170.205</t>
  </si>
  <si>
    <t>Connie Elmore - connie.elmore@cvshealth.com - no longer correct
Lee Luther (f) - lee.luther@cvshealth.com - main POC</t>
  </si>
  <si>
    <t>12/18 3:23pm
3/9 at 11:14am - follow up and app info request</t>
  </si>
  <si>
    <t>12/18 at 3:30pm - added Lee Luther to thread
3/9 at 6:05pm - Confirmed B2B connection is active</t>
  </si>
  <si>
    <t>Cardinal Health Service Center - gmb-mcg-cardinal-mps-cyclone@cardinal.com - 1-800-326-6457
Pettit, Lyn - Lyn.Pettit@cardinalhealth.com - Pistone, Tom - Tom.Pistone@cardinalhealth.com - Zhang, Guangwen - guangwen.zhang@cardinalhealth.com</t>
  </si>
  <si>
    <t>CARDINAL | VPN | 199.230.170.205 | SHEA</t>
  </si>
  <si>
    <t>Crypto ACL: Cardinal_Crypto_acl
Cipher: AES-256-SHA256
PFS Group: group14
SA Lifetime: 8h</t>
  </si>
  <si>
    <t>Centene</t>
  </si>
  <si>
    <t>204.124.254.4</t>
  </si>
  <si>
    <t>Bheemasankararao Pachava - Bheemasankararao.Pachava@CVSHealth.com - 609-678-7189
Suresh Andrew - suresh.andrew@cvshealth.com - 972-310-9226</t>
  </si>
  <si>
    <t>1/14 at 11:20 AM</t>
  </si>
  <si>
    <t>1/14 at 2:57pm - Not sure any B2B connection with Cente. Asked for more info. Provided more info on 1/16 at 10:52am
1/27 at 1pm - confirmed on call that the tunnel is active</t>
  </si>
  <si>
    <t>Contact: 	IT-Network-Mobility@centene.com
Daniel Taylor and Rhandy Figueroa</t>
  </si>
  <si>
    <t>CENTENE | VPN | 204.145.114.4 | SHEA</t>
  </si>
  <si>
    <t>12.46.119.234 ,206.213.209.41,206.213.209.29</t>
  </si>
  <si>
    <t>Paul Szelag - ptszelag@cvshealth.com - 401-770-5201
Conway Norwood = conway.norwood@cvshealth.com</t>
  </si>
  <si>
    <t>1/29 at 9:52am</t>
  </si>
  <si>
    <t>1/29 at 9:55am - Conway Norwood confirmed this connection is still in use and needed.</t>
  </si>
  <si>
    <t>Katie Benoit - katie.benoit@changehealthcare.com - 614-783-4446
Email:isscognizantnetwork@changehealthcare.com - 323-781-2168</t>
  </si>
  <si>
    <t>CHANGEHEALTHCARE | VPN | 165.85.175.55 | SHEA</t>
  </si>
  <si>
    <t>Crypto ACL: outside_cryptomap_20
Cipher: AES256-SHA256, AES256-SHA
PFS Group: group14
SA Lifetime: Default</t>
  </si>
  <si>
    <t>165.85.175.55</t>
  </si>
  <si>
    <t>CHANGEHEALTHCARE | VPN | 170.138.160.4 | SHEA</t>
  </si>
  <si>
    <t>Crypto ACL: Change_Healthcare_Crypto
Cipher: AES-256-SHA256
PFS Group: group14
SA Lifetime: Default</t>
  </si>
  <si>
    <t>Vizag</t>
  </si>
  <si>
    <t>SHUT 1/08/2019CHG01170125 CM0017929</t>
  </si>
  <si>
    <t>125.19.97.14 &amp; 115.110.123.154</t>
  </si>
  <si>
    <t>Lori Carter 904-351-3394 carterld@aetna.com</t>
  </si>
  <si>
    <t>Pritam Nagdive +91 9920343140 pritam.nagdive@concentrix.com
+91-9970151467 CNXnetwork.south@concentrix.com</t>
  </si>
  <si>
    <t>VIZAG | VPN | MID-FW-VPN1 | 125.19.97.14 &amp; 115.110.123.154 | MDC</t>
  </si>
  <si>
    <t>12.46.119.234 ,206.213.209.41</t>
  </si>
  <si>
    <t>Nak C Huoth - nak.huoth@cvshealth.com - 401-770-1706. 
Conway.Norwood - conway.norwood@cvshealth.com</t>
  </si>
  <si>
    <t>CHANGEHEALTHCARE | VPN | 170.138.220.13 | SHEA</t>
  </si>
  <si>
    <t>Switched from Decommissioned back to Confirmed Active based on Michael Martin's FW traffic flow log. 
Crypto ACL: RETAIL_CHC
Cipher: ESP-AES-256-SHA
PFS Group: group5
SA Lifetime: 1h</t>
  </si>
  <si>
    <t>CMC</t>
  </si>
  <si>
    <t>38.32.108.122</t>
  </si>
  <si>
    <t>204.99.19.23 (OLD ASA Device),204.99.19.73(Migrated Config to new FTD device), 12.46.119.234</t>
  </si>
  <si>
    <t>Desiree Borrero - desiree.borrero@cvshealth.com</t>
  </si>
  <si>
    <t>12/19 at 11:46am
3/13 at 3:07pm - app info request sent to Desiree</t>
  </si>
  <si>
    <t>12/19 at 11:51am - offered to connect me to the CMS IT contact
1/6 at 1:02pm - Justin Miller confirmed active VPN connections with CVS. Added in Bob Randolph
3/13 at 6:28pm - provided additional details around application and line of business</t>
  </si>
  <si>
    <t>NTURNER@CREDITMANAGEMENTCOMPANY.COM
Justin Miller - jmiller@creditmanagementcompany.com - IT manager
Bob Randolph - brandolph@vi-haus.com - manages the colo that hosues their firewall</t>
  </si>
  <si>
    <t>Epic
ECM
ePremis
DIA</t>
  </si>
  <si>
    <t>CMC | VPN | 38.32.108.122 | SHEA</t>
  </si>
  <si>
    <t>Note on the applications listed under Resource Accessed per POC: "CMC works Specialty and Coram lines of business. For below systems I listed, these are focused solely on Coram line of business: Epic, ECM, ePremis, DIA."
Additional note: "I wanted to add, the systems I listed below are from a provisioning perspective but of course, there's the vendors connection to receive their Epic work files like placements, transactions, etc. via SFTP which are vital for them to be able to work Epic claims."
Group Policy: CVS-CMC
Crypto ACL: CVS_EPIC-CMC
Cipher: AES256-SHA256
PFS Group: group14
SA Lifetime: 8h</t>
  </si>
  <si>
    <t>epic</t>
  </si>
  <si>
    <t>199.204.59.137</t>
  </si>
  <si>
    <t>204.99.19.73,12.46.119.234</t>
  </si>
  <si>
    <t>Mike Talman - Michael.Talman@CVSHealth.com - 401-770-3510</t>
  </si>
  <si>
    <t>12/19 at 11:57am
2/5 at 5:00pm</t>
  </si>
  <si>
    <t>2/5 at 5:11pm - Confirmed active</t>
  </si>
  <si>
    <t xml:space="preserve">Mike Talman - </t>
  </si>
  <si>
    <t>EPIC</t>
  </si>
  <si>
    <t>EPIC | VPN | 199.204.59.137 | SHEA</t>
  </si>
  <si>
    <t>Group Policy: epic-vpn
Crypto ACL: Outside_cryptomap_185
Cipher: ESP-AES-128-SHA, ESP-AES-128-MD5
PFS Group: None
SA Lifetime: Default</t>
  </si>
  <si>
    <t>WC Earhart</t>
  </si>
  <si>
    <t xml:space="preserve"> 96.76.125.29</t>
  </si>
  <si>
    <t>Gabriella Johnson JohnsonGM@aetna.com</t>
  </si>
  <si>
    <t>Jeffrey Jones jjones@centerlogic.com</t>
  </si>
  <si>
    <t>WC EARHART | VPN | WIN-FW-VPN2 | 96.76.125.29 | WDC</t>
  </si>
  <si>
    <t>William C Earhart</t>
  </si>
  <si>
    <t>50.203.74.222</t>
  </si>
  <si>
    <t>Melissa Hostrawser</t>
  </si>
  <si>
    <t>shane.h@wcearhart.com/dan.m@wcearhart.com</t>
  </si>
  <si>
    <t>WILLIAM C EARHART | VPN | WIN-FW-VPN1 | 50.203.74.222 | WDC</t>
  </si>
  <si>
    <t>Scottsdale Device Details     Primary Router : Cisco ISR4331/K9   Serial Number : FLM25491158 Secondary Router : Cisco ISR4331/K9   Serial Number : FLM2549115B    Woonsocket Device Details     Primary Router : CISCO2911/K9  Serial Number : FGL193010JJ</t>
  </si>
  <si>
    <t>Serco and Endeavor</t>
  </si>
  <si>
    <t>Scottsdale Primary :  198.187.88.28(Client End) Scottsdale Secondary : 198.187.88.29 (Client End)  Woonsocket : Primary (152.145.56.45)</t>
  </si>
  <si>
    <t>Sedona Cottrellsedona.cottrell@cvshealth.com
Elizabeth Malpass, George Vince from CVS? Vince.George@CVSHealth.com
Pell, Desiree Mae Jean L. &lt;DesireeMaeJean.Borrero@CVSHealth.com&gt;
Monson, Kelli S. &lt;Kelli.Monson@coramhc.com&gt;; 
Raymond, Brooke &lt;Amanda.Raymond2@CVSHealth.com&gt;; 
Ruxton, Steven &lt;Steve.Ruxton@coramhc.com&gt;</t>
  </si>
  <si>
    <t>4/29 inital email sent</t>
  </si>
  <si>
    <t>5/4 Tim Smith (partner) provided all information for Serco and Endeavor</t>
  </si>
  <si>
    <t>Tim.Smith@teleperformance.com
Himanshu Koli &lt;himanshu.koli@teleperformance.com&gt;; Prasad Naik &lt;prasad.naik@teleperformance.com&gt;; Singh, Pravesh &lt;pravesh.singh@teleperformance.com&gt;
Pell, Desiree Mae Jean L. &lt;DesireeMaeJean.Borrero@CVSHealth.com&gt;</t>
  </si>
  <si>
    <t xml:space="preserve">CVS Citrix URLs:
Secureapps.cvshealth.com
Secureapps.caremark.com
 appsmc.minclinic.local </t>
  </si>
  <si>
    <t>TP Owned (Tata Managed)</t>
  </si>
  <si>
    <t>SERCO AND ENDEAVOR | MPLS | SCOTTSDALE DEVICE DETAILS PRIMARY ROUTER : CISCO ISR4331/K9 SERIAL NUMBER : FLM25491158 SECONDARY ROUTER : CISCO ISR4331/K9 SERIAL NUMBER : FLM2549115B WOONSOCKET DEVICE DETAILS PRIMARY ROUTER : CISCO2911/K9 SERIAL NUMBER : FGL193010JJ | SCOTTSDALE PRIMARY : 198.187.88.28(CLIENT END) SCOTTSDALE SECONDARY : 198.187.88.29 (CLIENT END) WOONSOCKET : PRIMARY (152.145.56.45) | RI</t>
  </si>
  <si>
    <t>5/6: Status confirmed by Kartheek Cheenepali as part of Firewall team migrations (scheduled for firewall migration not colo migration) - Migration to Firepower completed
Teleperformance
CVS FWs:
RRICMCP-SEC-MPLEAST-01/endeavor
PAZSHDC-SEC-EXT-NET4WIR-01/serco/act</t>
  </si>
  <si>
    <t>Gemini</t>
  </si>
  <si>
    <t>23.22.139.157</t>
  </si>
  <si>
    <t>David Huges - david.huges@cvshealth.com - 480-707-6546 (Email doesn't exist)
Criag Dreiling - craig.drreiling@cvshealth.com - 847-484-9353</t>
  </si>
  <si>
    <t>1/30 at 11:14am</t>
  </si>
  <si>
    <t>1/30 at 12:47pm - Looped in Steve Sterling from the HPNS Systems Team.
1/30 at 12:55pm - Steve Sterling confirmed the VPN is still active.</t>
  </si>
  <si>
    <t>Richard/Kevin richard.krol@gemini.health  /  Kevin.Annis@flexential.com</t>
  </si>
  <si>
    <t>GEMINI | VPN | 23.22.139.157 | SHEA</t>
  </si>
  <si>
    <t>GetixHealth</t>
  </si>
  <si>
    <t>69.2.203.116</t>
  </si>
  <si>
    <t>Main POC: Linda Stoklosa - Linda.Stoklosa@CVSHealth.com
Joan Wright - WrightJ@cvshealth.com</t>
  </si>
  <si>
    <t>1/13 at 11:05 AM
2/10 at 10:56am
3/5 at 4:19pm - follow up and app info request
3/6 at 12:04pm - app info request from new POC</t>
  </si>
  <si>
    <t>2/10 at 11:01am - Added WrightJ@cvshealth.com to help find a good contact
3/6 at 8:34am - Joan confirmed connection is active and provided updated contacts</t>
  </si>
  <si>
    <t>Jennifer.Autrey@GetixHealth.com - 863-838-3953 (Account Manager)</t>
  </si>
  <si>
    <t>GETIXHEALTH | VPN | 69.2.203.116 | SHEA</t>
  </si>
  <si>
    <t>Crypto ACL: CVS_GetixHealth
Cipher: AES256-SHA256
PFS Group: group14
SA Lifetime: Default</t>
  </si>
  <si>
    <t>Intrado_LA</t>
  </si>
  <si>
    <t>208.71.176.2</t>
  </si>
  <si>
    <t>204.99.19.23,12.46.119.234,206.213.209.29</t>
  </si>
  <si>
    <t>Scott.Tyson@CVSHealth.com</t>
  </si>
  <si>
    <t xml:space="preserve">1/7 at 11:23am
4/29 at 1:30pm - initial partner outreach (email bounced back)
</t>
  </si>
  <si>
    <t>contact:Chad Taylor &lt;ctaylor@intrado.com&gt; tnwurth@intrado.com
Ranjit Panda - 510-759-3631
4/30 firewall ops team confirmed active and provided new contacts</t>
  </si>
  <si>
    <t>INTRADO_LA | VPN | 208.71.176.2 | SHEA</t>
  </si>
  <si>
    <t>4/30 firewall ops team confirmed active and provided new contacts
Crypto ACL: Outside_cryptomap_34
Cipher: AES256-SHA256
PFS Group: group14
SA Lifetime: Default</t>
  </si>
  <si>
    <t>Intrado_NY</t>
  </si>
  <si>
    <t>208.71.179.2</t>
  </si>
  <si>
    <t>1/7 at 11:23am
4/29 at 1:30pm - initial partner outreach (email bounced back)</t>
  </si>
  <si>
    <t>INTRADO_NY | VPN | 208.71.179.2 | SHEA</t>
  </si>
  <si>
    <t>4/30 firewall ops team confirmed active and provided new contacts
Crypto ACL: Outside_cryptomap_235
Cipher: AES256-SHA256
PFS Group: group14
SA Lifetime: Default</t>
  </si>
  <si>
    <t>OpentextAshburn</t>
  </si>
  <si>
    <t>66.54.164.61</t>
  </si>
  <si>
    <t>204.99.19.23(Active on (OLD ASA Device),and on RI(12.46.119.234)</t>
  </si>
  <si>
    <t>Lisa Vass Robles (OpenText POC, need email)
Vasubabu.Jarugula@CVSHealth.com (RxConnect POC)
Sean.Palmer@CVSHealth.com (RxConnect POC)
Alain.Lavelanet@CVSHealth.com (RxConnect POC)</t>
  </si>
  <si>
    <t>1/29 at 9:36am
3/30 at 11:12am - follow up and app info request
4/28 at 3:55pm - Initial partner contact outreach
5/8 - meeting with OpenText/RxConnect POCs</t>
  </si>
  <si>
    <t>4/28 at 8:16pm - Added ocopelan@opentext.com to help with the inquiry
4/29 at 7:06am - Orlanda asked to open a support ticket and CC her
4/30: Firewall Ops team confirmed this connection is active</t>
  </si>
  <si>
    <t>Orlanda Copeland &lt;ocopelan@opentext.com&gt; (Main POC)
Sariah Kruger &lt;skruger@opentext.com&gt;</t>
  </si>
  <si>
    <t>RxConnect
ADE
Med D (MedHawk)</t>
  </si>
  <si>
    <t>OPENTEXTASHBURN | VPN | 66.54.164.61 | PDX</t>
  </si>
  <si>
    <t>Crypto ACL: Outside_cryptomap_5
Cipher: ESP-AES-256-SHA
PFS Group: None
SA Lifetime: 1h</t>
  </si>
  <si>
    <t>OpenTextTintonFalls</t>
  </si>
  <si>
    <t>137.236.241.90</t>
  </si>
  <si>
    <t>OPENTEXTTINTONFALLS | VPN | 137.236.241.90 | PDX</t>
  </si>
  <si>
    <t>Crypto ACL: Outside_cryptomap_171
Cipher: ESP-AES-256-SHA
PFS Group: None
SA Lifetime: 1h</t>
  </si>
  <si>
    <t>SERCO AND ENDEAVOR | MPLS | SCOTTSDALE DEVICE DETAILS PRIMARY ROUTER : CISCO ISR4331/K9 SERIAL NUMBER : FLM25491158 SECONDARY ROUTER : CISCO ISR4331/K9 SERIAL NUMBER : FLM2549115B WOONSOCKET DEVICE DETAILS PRIMARY ROUTER : CISCO2911/K9 SERIAL NUMBER : FGL193010JJ | SCOTTSDALE PRIMARY : 198.187.88.28(CLIENT END) SCOTTSDALE SECONDARY : 198.187.88.29 (CLIENT END) WOONSOCKET : PRIMARY (152.145.56.45) | SHEA</t>
  </si>
  <si>
    <t>Surescripts</t>
  </si>
  <si>
    <t xml:space="preserve">4/24 Eric followed up to confirm status of the connection
4/15 emailed partner(s) to identify additional connection metadata and validate status.  </t>
  </si>
  <si>
    <t xml:space="preserve">4/28 Anthony reached back.  Confirmed they are in process of migrating OFF MPLS for CVS.  Provided subnets for routing for MPLS, confirmed RxConnect and HPNS interfacing apps.  Confimred 4 routers in AZ and RI
4/27 Vendor submitted ticket Case 02131671 and sent L2 team to further review and get back to us.
4/10: Steven Stirling filled out data sheet for RxClaim connection.  Validated active connection. </t>
  </si>
  <si>
    <t>samantha.more@surescripts.com
Anthony.Erkel@surescripts.com (main POC - L2 engineer)
Wayne.Senior@surescripts.com (L2 engineer)
Brian.Crowley@surescripts.com (L2 engineer)
Daniel.Opitz@surescripts.com (L2 engineer)
Kelley.Kosin@surescripts.com (L2 engineer)
Karen.Leija@surescripts.com (new)
support.case@surescripts.com</t>
  </si>
  <si>
    <t>RxClaim
RX Connect and HPNS</t>
  </si>
  <si>
    <t>SURESCRIPTS | MPLS | RI</t>
  </si>
  <si>
    <t xml:space="preserve">-Inbound from cloud/internet via Firewall/F5 (Akamai bypass)
Outbound internet to vendor cloud 
Both are SS recent migration MPLS decomission underway
Subnets currently routing for MPLS: 
10.217.52.0/24, 10.253.119.8/30, 172.16.1.0/24, 172.16.10.0/24, 172.16.20.0/24,172.18.10.0/24, 204.99.1.0/24, 204.99.2.0/24, 204.99.3.0/24, 204.99.4.0/24, 204.99.6.0/24, 204.99.7.0/24, 204.99.18.0/24, 204.99.86.0/24, 204.99.87.0/24, 204.99.88.0/24, 204.99.108.0/24, 204.99.123.87/32, 10.6.74.0/24, 10.6.84.0/24, 10.92.16.0/24, 10.92.60.0/24, 10.92.230.0/24, 10.92.237.0/24, 10.253.16.0/24, 10.253.36.0/24, 172.16.14.0/24, 152.145.92.0/22
currently four routers that are in AZ and RI (two at each location) that are used for MPLS:
RI-Lumen:
NAME: "Chassis", DESCR: "Cisco C8300-1N1S-4T2X Chassis"
PID: C8300-1N1S-4T2X   , VID: V02  , SN: FLM282010A6
RI-Verizon:
NAME: "Chassis", DESCR: "Cisco C8300-1N1S-4T2X Chassis"
PID: C8300-1N1S-4T2X   , VID: V02  , SN: FLM282010A7
AZ-Lumen:
NAME: "Chassis", DESCR: "Cisco C8300-1N1S-4T2X Chassis"
PID: C8300-1N1S-4T2X   , VID: V02  , SN: FLM2820109Y
AZ-Verizon:
NAME: "Chassis", DESCR: "Cisco C8300-1N1S-4T2X Chassis"
PID: C8300-1N1S-4T2X   , VID: V02  , SN: FLM282010A2
</t>
  </si>
  <si>
    <t>MTCPayFlex</t>
  </si>
  <si>
    <t>Sabrina Chimirri - ChimirriS@aetna.com
Ellen Frenis - FrenisE@aetna.com</t>
  </si>
  <si>
    <t>1/13 at 2:28 PM</t>
  </si>
  <si>
    <t>1/13 at 2:54pm - Asked additional team members to review; New POCs: Sara Greene - Sara.Greene@CVSHealth.com and Kari Arnold - Kari.Arnold@CVSHealth.com
1/14 at 12:54pm - Added Ellen Frenis - FrenisE@aetna.com - to provide more info about the connection
1/14 at 1:21pm - Ellen's initial answer is yes, the connection is still needed</t>
  </si>
  <si>
    <t>PFX-QUOTE@PAYFLEX.COM</t>
  </si>
  <si>
    <t>MTCPAYFLEX | VPN | 50.31.166.50 | SHEA</t>
  </si>
  <si>
    <t>-Crypto ACL: HPNS_MTCPayFlex
Cipher: AES256-SHA256
PFS Group: group14
SA Lifetime: 8h</t>
  </si>
  <si>
    <t>WPAS</t>
  </si>
  <si>
    <t>50.205.146.66</t>
  </si>
  <si>
    <t>Melissa Hostrawser/ Natalie Rodriguez</t>
  </si>
  <si>
    <t>khicklin@wpas-inc.com</t>
  </si>
  <si>
    <t>WPAS | VPN | MID-FW-VPN2 | 50.205.146.66 | MDC</t>
  </si>
  <si>
    <t>PayFlex</t>
  </si>
  <si>
    <t>65.197.234.151</t>
  </si>
  <si>
    <t xml:space="preserve">Adarsh Nagar - adarsh.nagar@cvshealth.com - 224-360-3010
</t>
  </si>
  <si>
    <t>11/13 at 11:21 AM</t>
  </si>
  <si>
    <t>11/13 at 11:25 AM - connection is active in prod and some non-prod regions. Requests a call to understand migration and provide more connections
1/22 at 10:40am - Parsia scheduled a call for Friday 1/23 to go over the migration and to fill any connections that may have been missed.
1/23 - Call confirmed connection is active but more details needed pre-migration</t>
  </si>
  <si>
    <t>Jim Calano - calanoj@aetna.com - 602-567-2983
Kangsong (Charlie) Han - hank@payflex.com</t>
  </si>
  <si>
    <t>PAYFLEX | VPN | 65.197.234.151 | SHEA</t>
  </si>
  <si>
    <t>Crypto ACL Name: HPNS_PayFlex
Cipher: ESP-AES-128-SHA, ESP-AES-128-MD5
PFS Group: None
SA Lifetime: Default</t>
  </si>
  <si>
    <t>SUTHERLAND_ASHBURN</t>
  </si>
  <si>
    <t>64.147.70.248</t>
  </si>
  <si>
    <t>Matt Schuberth - schuberthm@cvshealth.com, 
Nicole Piotrowski - nicole.piotrowski@cvshealth.com</t>
  </si>
  <si>
    <t>1/13 at 4:21 PM
3/13 at 12:46 - app info request</t>
  </si>
  <si>
    <t>1/13 at 5:02 PM - The connections are still needed
3/13 at 3:31pm - suggested reaching out to Sutherland directly to determine app</t>
  </si>
  <si>
    <t>Vinod Tekkale &lt;Vinod.Tekkale@sutherlandglobal.com&gt;; Hari Krishna Naraharasetty &lt;HariKrishna.N2@sutherlandglobal.com&gt;; Venkatesh Sharma Akkipedi &lt;VenkateshSharma.Akkipedi@sutherlandglobal.com&gt;</t>
  </si>
  <si>
    <t>SUTHERLAND_ASHBURN | VPN | 64.147.70.248 | SHEA</t>
  </si>
  <si>
    <t>Crypto ACL: SUTHERLAND_ASHBURN_ACL
Cipher: AES256-SHA256
PFS Group: group14
SA Lifetime: 8h</t>
  </si>
  <si>
    <t>wtp(World Travel Protection)</t>
  </si>
  <si>
    <t>206.252.36.10</t>
  </si>
  <si>
    <t>heather.bell@wtp.ca</t>
  </si>
  <si>
    <t xml:space="preserve">accessa.aetna.com connection/ access ASD and IOP View </t>
  </si>
  <si>
    <t>WTP(WORLD TRAVEL PROTECTION) | VPN | MID-FW-VPN2 | 206.252.36.10 | MDC</t>
  </si>
  <si>
    <t>win-ds-l2-edmz-1 1/0/22 (primary) 2/0/22 (redundant firewall interface)</t>
  </si>
  <si>
    <t>Xerox</t>
  </si>
  <si>
    <t>Xerox ASA  FW interface ip 172.28.241.3</t>
  </si>
  <si>
    <t>Skitromo, Ryan R &lt;SkitromoR@cvshealth.com&gt;;
rlstecyk@cvshealth.com (new)
tapettapiece@cvshealth.com (new)</t>
  </si>
  <si>
    <t>4/29 Ryan Skitromo responded and gave us updated contacts to work with</t>
  </si>
  <si>
    <t xml:space="preserve">Mannambeth, Dipin &lt;Dipin.Mannambeth@xerox.com;Beatty, Malcolm Malcolm.Beatty@xerox.com;Crisanto.Delrosario@xerox.com;Frank.Mendes@xerox.com;Kuldeep.Pathak@xerox.com;Myron.Klewicki@xerox.com,  </t>
  </si>
  <si>
    <t xml:space="preserve">ASA5515X  Cisco 2900                                </t>
  </si>
  <si>
    <t xml:space="preserve">10 gig to Verizon Overture port 1/2 Rack N53 W1A39547 EA-Y03-Y03-002                     </t>
  </si>
  <si>
    <t>Xerox router/firewall and user did verify all is well.Deepak Prakash,  CCIE R&amp;S 47127
ITO Network Engineering
XBSNET/CCWAN
XBS IT Services Private Limited
Tel : 1.972-232-6709
Mobile :  91.9686106739
deepak.prakash@atos.net</t>
  </si>
  <si>
    <t>XEROX | MPLS | MID-DS-L3-EDMZ-1 PRIMARY FW PORT GIG 1/0/22 SECONDARY FW PORT GIG 2/0/22 | XEROX ASA5515X IP 172.19.241.3 | MDC</t>
  </si>
  <si>
    <t>SUTHERLAND_LASVEGAS</t>
  </si>
  <si>
    <t>216.150.186.245</t>
  </si>
  <si>
    <t>1/13 at 4:21 PM
3/13 at 12:46pm - app info request
3/13 at 3:31pm - suggested reaching out to Sutherland directly to determine app</t>
  </si>
  <si>
    <t>1/13 at 5:02 PM - The connections are still needed</t>
  </si>
  <si>
    <t>SUTHERLAND_LASVEGAS | VPN | 216.150.186.245 | SHEA</t>
  </si>
  <si>
    <t>Crypto ACL: SUTHERLAND_LASVEGAS_ACL
Cipher: AES256-SHA256
PFS Group: group14
SA Lifetime: 8h</t>
  </si>
  <si>
    <t>UMWA</t>
  </si>
  <si>
    <t>65.201.154.182</t>
  </si>
  <si>
    <t>John Piattoni - John.Piattoni@CVSHealth.com - 480-259-9831</t>
  </si>
  <si>
    <t>1/15 at 12:53pm
3/13 at 12:44pm - app info request
3/23 at 11:02am - Parsia sent John the CC list to include in the outreach</t>
  </si>
  <si>
    <t>1/15 at 1:13pm - Yes connection still in use. Wants to be kept in the loop and asks for timeline. Replied to him with more information
3/19 at 8:29pm - John offered to send initial outreach to the Funds directly to answer questions.
3/27 at 9:58am - Sung Paek from UMWA confirmed they will track the project</t>
  </si>
  <si>
    <t>Sung Paek - spaek@umwafunds.org ,  202-521-2269
David Wilsey, dwilsey@umwafunds.org</t>
  </si>
  <si>
    <t>UMWA | VPN | 65.201.154.182 | SHEA</t>
  </si>
  <si>
    <t>UMWA Washington DC</t>
  </si>
  <si>
    <t>208.255.180.100</t>
  </si>
  <si>
    <t>AMINI, ZIAULLAH &lt;zamini@umwafunds.org&gt;
Zia Amini - 202-521-2346
David Wilsey, dwilsey@umwafunds.org
Sung Paek, spaek@umwafunds.org</t>
  </si>
  <si>
    <t>UMWA WASHINGTON DC | VPN | 208.255.180.100 | SHEA</t>
  </si>
  <si>
    <t>WellPoint</t>
  </si>
  <si>
    <t>162.95.216.203</t>
  </si>
  <si>
    <t>Jennifer Hendrix - jennifer.hendrix@cvshealth.com - no longer correct
Bob Kunkel - robert.kunkel@cvshealth.com
Rob Hadaway
Ram Iyer</t>
  </si>
  <si>
    <t>1/7 at 9:20am
3/13 at 3:10pm - app info request</t>
  </si>
  <si>
    <t>1/7 at 9:38am - looped in Bob Kunkel
1/8 at 11:09am - Looped in Ram Iyer and Rob Hadaway
1/8 at 11:15am - Rob confirmed Carelon has not beein informed yet and asked for a detailed schedule.
1/8 at 11:19am - Rob asked about details on scope of the initiative.
1/9 at 10:37am - I replied with the fact sheet and the details I had around timelines.</t>
  </si>
  <si>
    <t>Mitchell, Latasha</t>
  </si>
  <si>
    <t>WELLPOINT | VPN | 162.95.216.203 | SHEA</t>
  </si>
  <si>
    <t>Group Policy: WellPoint-Richmond
Crypto ACL: Outside_cryptomap_103
Cipher: ESP-AES-128-SHA, ESP-AES-256-SHA
PFS Group: None
SA Lifetime: Default</t>
  </si>
  <si>
    <t>140.177.8.79</t>
  </si>
  <si>
    <t>Bodapati Narendra Prasad, Bhagat Yogesh</t>
  </si>
  <si>
    <t>3/4 at 12:51pm
3/4 at 1:32pm - requested application info</t>
  </si>
  <si>
    <t xml:space="preserve">3/4 at 1:14pm - NarendraPrasad confirmed active 
</t>
  </si>
  <si>
    <t>Eve Paul - evep@wolfram.com - Ph :217-398-0700, extension 5556</t>
  </si>
  <si>
    <t>Universal Medication Schedule (UMS)</t>
  </si>
  <si>
    <t>WOLFRAM | VPN | 140.177.204.79 | SHEA</t>
  </si>
  <si>
    <t>Group Policy: Wolfram-new
Crypto ACL: Outside_cryptomap_141
Cipher: ESP-AES-256-SHA
PFS Group: None
SA Lifetime: 1h</t>
  </si>
  <si>
    <t>TCS-VLAN88 and tcs</t>
  </si>
  <si>
    <t>skitromor@cvshealth.com
rlstecyk@cvshealth.com (new)
tapettapiece@cvshealth.com (new)
Jennifer.Marks@cvshealth.com</t>
  </si>
  <si>
    <t>Ryan Skitromo SkitromoR@cvshealth.com, 401-255-2618
Chalana, Peyush Peyush.Chalana@omnicare.com 
Faizan Elahi faizan.elahi@tcs.com</t>
  </si>
  <si>
    <t>TCS-VLAN88 AND TCS | MPLS | RI</t>
  </si>
  <si>
    <t>Mid-ds-L3-EDMZ-1 Primary FW port  Gig 1/0/22   Secondary FW port Gig 2/0/22</t>
  </si>
  <si>
    <t>Xerox ASA5515X ip 172.19.241.3</t>
  </si>
  <si>
    <t xml:space="preserve">Mannambeth, Dipin &lt;Dipin.Mannambeth@xerox.com;Beatty, Malcolm Malcolm.Beatty@xerox.com;Crisanto.Delrosario@xerox.com;Frank.Mendes@xerox.com;Kuldeep.Pathak@xerox.com;Myron.Klewicki@xerox.com, </t>
  </si>
  <si>
    <t>ASA5515X  Cisco 2900      Atos ACSaetmid-ra01</t>
  </si>
  <si>
    <t xml:space="preserve">AT&amp;T LNS Cab#1 AT&amp;T Ciena 10 meg port 1 kqgn709592  router port 0/1                 AT&amp;T Ciena 10 meg port 4 IUAC990335  GE 0/2 DHEC944225.811 DHEC944255.812    DHEC944225.813 DHEC944255.814 </t>
  </si>
  <si>
    <t>XEROX | MPLS | WIN-DS-L2-EDMZ-1 1/0/22 (PRIMARY) 2/0/22 (REDUNDANT FIREWALL INTERFACE) | XEROX ASA FW INTERFACE IP 172.28.241.3 | WDC</t>
  </si>
  <si>
    <t>zenith-american</t>
  </si>
  <si>
    <t>173.226.115.9</t>
  </si>
  <si>
    <t>Entz, Jamie D/Aguirre, Monika M</t>
  </si>
  <si>
    <t>hdp-it@zenith-american.com gwilliams@zenith-american.com</t>
  </si>
  <si>
    <t>ZENITH-AMERICAN | VPN | WIN-FW-VPN2 | 173.226.115.9 | WDC</t>
  </si>
  <si>
    <t>TCS-VLAN88 AND TCS | MPLS | SHEA</t>
  </si>
  <si>
    <t>Healthcare Services Corporation</t>
  </si>
  <si>
    <t xml:space="preserve">4/24 Eric followed up to confirm status of the connection
4/14 emailed partner(s) to identify additional connection metadata and validate status.  </t>
  </si>
  <si>
    <t>4/10: Steven Stirling filled out data sheet for RxClaim connection.  Validated active connection.
4/14 at 2:06pm - Added CDHP resources for awareness but no response</t>
  </si>
  <si>
    <t>"Jeff Mirabile" &lt;Jeffrey_Mirabile@bcbsil.com&gt;
June Pon PONJ@BCBSIL.com</t>
  </si>
  <si>
    <t>HEALTHCARE SERVICES CORPORATION | VPN | -</t>
  </si>
  <si>
    <t>Outbound connection; Equivalent to BCBS Illinois</t>
  </si>
  <si>
    <t>RxPartner</t>
  </si>
  <si>
    <t xml:space="preserve">4/10: Steven Stirling filled out data sheet for RxClaim connection.  Validated active connection. </t>
  </si>
  <si>
    <t>RXPARTNER | VPN | -</t>
  </si>
  <si>
    <t>Outbound internet to vendor cloud</t>
  </si>
  <si>
    <t>GoodRx</t>
  </si>
  <si>
    <t>Dustin Boyle dboyle@goodrx.com</t>
  </si>
  <si>
    <t>GOODRX | VPN | -</t>
  </si>
  <si>
    <t>Blue Genes</t>
  </si>
  <si>
    <t>Adarsh.Nagar@CVSHealth.com, Steven.Sterling@CVSHealth.com, Mark.Winters@CVSHealth.com</t>
  </si>
  <si>
    <t xml:space="preserve">4/24 Blue Genes vendor identified additional partner contact and CVS contacts for us to work with.  Adarsh (CVS) confirmed Steve will fill in the remaining metadata.
4/10 Steven Stirling filled out data sheet for RxClaim connection.  Validated active connection. </t>
  </si>
  <si>
    <t xml:space="preserve">Michael Brancato m.brancato@GTILaboratories.com
tech@bluegeneslab.com
</t>
  </si>
  <si>
    <t>BLUE GENES | VPN | -</t>
  </si>
  <si>
    <t>WalthHealth</t>
  </si>
  <si>
    <t xml:space="preserve">4/24 Eric emailed following up to get full connection detail
4/17 requested more details including the CVS contacts from the partners
4/14 emailed partner(s) to identify additional connection metadata and validate status.  </t>
  </si>
  <si>
    <t xml:space="preserve">4/24 The partner (Christina) mentioned she would get with her team and respond back to us shortly.
4/14 The partner (Christina) confirmed this connection is active. Also called out they whitelist the IP addresses when you connect to us (Waltz), so if the outbound IP address they (or Carelon) use to connect to ISP is changing, we need the new IPs.
4/10: Steven Stirling filled out data sheet for RxClaim connection.  Validated active connection. </t>
  </si>
  <si>
    <t>christina.lewis@waltzhealth.com
Malini Siram malini.siram@waltzhealth.com
Sudha.menon@waltzhealth.com (added to contact list)
sunil.kripalani@waltzhealth.com (remove from contact list)</t>
  </si>
  <si>
    <t>WALTHHEALTH | VPN | -</t>
  </si>
  <si>
    <t>Primary :- 182.94.236.81 &amp;
Secondary :- 182.94.239.224</t>
  </si>
  <si>
    <t>Mr. Jayaramraj 
+91-9052722323; jayaramraj.v@genpact.com</t>
  </si>
  <si>
    <t>GENPACT | VPN | WIN-FW-VPN1 | PRIMARY :- 182.94.236.81 &amp;
SECONDARY :- 182.94.239.224 | WDC</t>
  </si>
  <si>
    <t>Vendor-14</t>
  </si>
  <si>
    <t>VENDOR-14</t>
  </si>
  <si>
    <t>Trizetto</t>
  </si>
  <si>
    <t>TRIZETTO | MPLS | SHEA</t>
  </si>
  <si>
    <t>Vantiv</t>
  </si>
  <si>
    <t>VANTIV | MPLS | SHEA</t>
  </si>
  <si>
    <t>EMDEON | MPLS</t>
  </si>
  <si>
    <t>VENDOR-14 | MPLS | SHEA</t>
  </si>
  <si>
    <t>Wellpartner</t>
  </si>
  <si>
    <t>WELLPARTNER | MPLS | RI</t>
  </si>
  <si>
    <t>Wellpoint</t>
  </si>
  <si>
    <t>Scheduled for migration</t>
  </si>
  <si>
    <t>Wellpoint (Anthem) Super, Mitchell, Mitchell.Super@CVSHealth.com
_HPSMChgAssist (PBM), HPSMChgAssist@CVSHealth.com
Selagea, Benjamin, Benjamin.Selagea@CVSHealth.com</t>
  </si>
  <si>
    <t>WELLPOINT | MPLS | SHEA</t>
  </si>
  <si>
    <t>4/30: Firewall Ops team confirmed this connection is active, however no CVS or Partner contacts validated the status previously.</t>
  </si>
  <si>
    <t>Current Connection Status</t>
  </si>
  <si>
    <t>Meaning</t>
  </si>
  <si>
    <t>Communication with Partner has not started.  We will be emailing in coming weeks.</t>
  </si>
  <si>
    <t>Unsure how to proceed to collect 3rd party connection status.  Either CVS contact is missing or partner is missing / unresponsive</t>
  </si>
  <si>
    <t>Email has been sent to CVS contact or the partner.  No response back yet</t>
  </si>
  <si>
    <t>Conversations have been ongoing with our team, CVS contact, and/or the partner</t>
  </si>
  <si>
    <t>Connection has been verified as active</t>
  </si>
  <si>
    <t>Read the notes column as one more step is required to validate the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</si>
</sst>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sz val="10"/>
      <name val="Arial"/>
      <family val="2"/>
    </font>
    <font>
      <sz val="10"/>
      <color rgb="FF00B050"/>
      <name val="Arial"/>
      <family val="2"/>
    </font>
    <font>
      <sz val="11"/>
      <name val="Aptos Narrow"/>
      <family val="2"/>
      <scheme val="minor"/>
    </font>
    <font>
      <sz val="10"/>
      <color theme="1"/>
      <name val="Verdana"/>
      <family val="2"/>
    </font>
    <font>
      <sz val="10"/>
      <color theme="1"/>
      <name val="Arial"/>
      <family val="2"/>
    </font>
    <font>
      <sz val="12"/>
      <color theme="1"/>
      <name val="Aptos Narrow"/>
      <family val="2"/>
      <scheme val="minor"/>
    </font>
    <font>
      <sz val="11"/>
      <name val="Calibri"/>
      <family val="2"/>
    </font>
    <font>
      <u/>
      <sz val="10"/>
      <name val="Arial"/>
      <family val="2"/>
    </font>
    <font>
      <sz val="11"/>
      <color theme="1"/>
      <name val="Aptos Display"/>
      <family val="1"/>
      <scheme val="major"/>
    </font>
    <font>
      <strike/>
      <sz val="11"/>
      <color theme="1"/>
      <name val="Aptos Narrow"/>
      <family val="2"/>
      <scheme val="minor"/>
    </font>
    <font>
      <sz val="10"/>
      <name val="Courier New"/>
      <family val="3"/>
    </font>
    <font>
      <b/>
      <sz val="10"/>
      <name val="Arial"/>
      <family val="2"/>
    </font>
    <font>
      <sz val="12"/>
      <color theme="1"/>
      <name val="Verdana"/>
      <family val="2"/>
    </font>
    <font>
      <sz val="10"/>
      <name val="Tahoma"/>
      <family val="2"/>
    </font>
    <font>
      <sz val="12"/>
      <name val="Times New Roman"/>
      <family val="1"/>
    </font>
    <font>
      <sz val="12"/>
      <color rgb="FF000000"/>
      <name val="Aptos Narrow"/>
      <family val="2"/>
      <scheme val="minor"/>
    </font>
    <font>
      <b/>
      <sz val="10"/>
      <color theme="1"/>
      <name val="Verdana"/>
      <family val="2"/>
    </font>
    <font>
      <sz val="11"/>
      <color rgb="FF00000A"/>
      <name val="Aptos Narrow"/>
      <family val="2"/>
      <scheme val="minor"/>
    </font>
    <font>
      <sz val="10"/>
      <color rgb="FFFF0000"/>
      <name val="Arial"/>
      <family val="2"/>
    </font>
    <font>
      <sz val="11"/>
      <color rgb="FF000000"/>
      <name val="Aptos Narrow"/>
      <family val="2"/>
      <scheme val="minor"/>
    </font>
    <font>
      <sz val="10"/>
      <color rgb="FF565F70"/>
      <name val="Arial"/>
      <family val="2"/>
    </font>
    <font>
      <b/>
      <sz val="11"/>
      <color rgb="FF000000"/>
      <name val="Aptos Narrow"/>
      <family val="2"/>
      <scheme val="minor"/>
    </font>
  </fonts>
  <fills count="17">
    <fill>
      <patternFill patternType="none"/>
    </fill>
    <fill>
      <patternFill patternType="gray125"/>
    </fill>
    <fill>
      <patternFill patternType="solid">
        <fgColor rgb="FFA5A5A5"/>
      </patternFill>
    </fill>
    <fill>
      <patternFill patternType="solid">
        <fgColor rgb="FF002060"/>
        <bgColor indexed="64"/>
      </patternFill>
    </fill>
    <fill>
      <patternFill patternType="solid">
        <fgColor theme="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BDBD"/>
        <bgColor indexed="64"/>
      </patternFill>
    </fill>
    <fill>
      <patternFill patternType="solid">
        <fgColor rgb="FFFFFFCC"/>
        <bgColor indexed="64"/>
      </patternFill>
    </fill>
    <fill>
      <patternFill patternType="solid">
        <fgColor theme="1" tint="0.499984740745262"/>
        <bgColor indexed="64"/>
      </patternFill>
    </fill>
    <fill>
      <patternFill patternType="solid">
        <fgColor rgb="FFB2B2B2"/>
        <bgColor rgb="FF000000"/>
      </patternFill>
    </fill>
    <fill>
      <patternFill patternType="solid">
        <fgColor rgb="FFFF5050"/>
        <bgColor rgb="FF000000"/>
      </patternFill>
    </fill>
    <fill>
      <patternFill patternType="solid">
        <fgColor rgb="FF99CCFF"/>
        <bgColor rgb="FF000000"/>
      </patternFill>
    </fill>
    <fill>
      <patternFill patternType="solid">
        <fgColor rgb="FFCC99FF"/>
        <bgColor rgb="FFD9D9D9"/>
      </patternFill>
    </fill>
    <fill>
      <patternFill patternType="solid">
        <fgColor rgb="FFB5E6A2"/>
        <bgColor rgb="FFD9D9D9"/>
      </patternFill>
    </fill>
    <fill>
      <patternFill patternType="solid">
        <fgColor rgb="FFD9D9D9"/>
        <bgColor rgb="FFD9D9D9"/>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0" fontId="2" fillId="2" borderId="1" applyNumberFormat="0" applyAlignment="0" applyProtection="0"/>
    <xf numFmtId="0" fontId="4" fillId="0" borderId="0" applyNumberFormat="0" applyFill="0" applyBorder="0" applyAlignment="0" applyProtection="0"/>
  </cellStyleXfs>
  <cellXfs count="238">
    <xf numFmtId="0" fontId="0" fillId="0" borderId="0" xfId="0"/>
    <xf numFmtId="0" fontId="2" fillId="3" borderId="2" xfId="1" applyFill="1" applyBorder="1"/>
    <xf numFmtId="0" fontId="2" fillId="3" borderId="3" xfId="1" applyFill="1" applyBorder="1"/>
    <xf numFmtId="49" fontId="2" fillId="3" borderId="3" xfId="1" applyNumberFormat="1" applyFill="1" applyBorder="1"/>
    <xf numFmtId="0" fontId="2" fillId="3" borderId="3" xfId="1" applyFill="1" applyBorder="1" applyAlignment="1">
      <alignment horizontal="left"/>
    </xf>
    <xf numFmtId="49" fontId="2" fillId="3" borderId="3" xfId="1" applyNumberFormat="1" applyFill="1" applyBorder="1" applyAlignment="1"/>
    <xf numFmtId="0" fontId="2" fillId="3" borderId="4" xfId="1" applyFill="1" applyBorder="1"/>
    <xf numFmtId="0" fontId="0" fillId="0" borderId="5" xfId="0" applyBorder="1"/>
    <xf numFmtId="0" fontId="0" fillId="0" borderId="6" xfId="0" applyBorder="1"/>
    <xf numFmtId="0" fontId="0" fillId="4" borderId="6" xfId="0" applyFill="1" applyBorder="1"/>
    <xf numFmtId="49" fontId="0" fillId="0" borderId="6" xfId="0" applyNumberFormat="1" applyBorder="1"/>
    <xf numFmtId="49" fontId="0" fillId="0" borderId="6" xfId="0" applyNumberFormat="1" applyBorder="1" applyAlignment="1">
      <alignment wrapText="1"/>
    </xf>
    <xf numFmtId="0" fontId="0" fillId="0" borderId="7" xfId="0" applyBorder="1"/>
    <xf numFmtId="14" fontId="0" fillId="0" borderId="6" xfId="0" applyNumberFormat="1" applyBorder="1"/>
    <xf numFmtId="0" fontId="0" fillId="0" borderId="0" xfId="0" applyAlignment="1">
      <alignment wrapText="1"/>
    </xf>
    <xf numFmtId="0" fontId="0" fillId="0" borderId="7" xfId="0" applyBorder="1" applyAlignment="1">
      <alignment wrapText="1"/>
    </xf>
    <xf numFmtId="0" fontId="1" fillId="4" borderId="6" xfId="0" applyFont="1" applyFill="1" applyBorder="1" applyProtection="1">
      <protection locked="0"/>
    </xf>
    <xf numFmtId="49" fontId="1" fillId="5" borderId="6" xfId="0" applyNumberFormat="1" applyFont="1" applyFill="1" applyBorder="1" applyProtection="1">
      <protection locked="0"/>
    </xf>
    <xf numFmtId="49" fontId="1" fillId="4" borderId="6" xfId="0" applyNumberFormat="1" applyFont="1" applyFill="1" applyBorder="1" applyProtection="1">
      <protection locked="0"/>
    </xf>
    <xf numFmtId="49" fontId="1" fillId="4" borderId="6" xfId="0" applyNumberFormat="1" applyFont="1" applyFill="1" applyBorder="1" applyAlignment="1" applyProtection="1">
      <alignment wrapText="1"/>
      <protection locked="0"/>
    </xf>
    <xf numFmtId="0" fontId="1" fillId="4" borderId="7" xfId="0" applyFont="1" applyFill="1" applyBorder="1" applyProtection="1">
      <protection locked="0"/>
    </xf>
    <xf numFmtId="49" fontId="1" fillId="5" borderId="0" xfId="0" applyNumberFormat="1" applyFont="1" applyFill="1" applyProtection="1">
      <protection locked="0"/>
    </xf>
    <xf numFmtId="49" fontId="1" fillId="0" borderId="0" xfId="0" applyNumberFormat="1" applyFont="1" applyProtection="1">
      <protection locked="0"/>
    </xf>
    <xf numFmtId="0" fontId="1" fillId="4" borderId="0" xfId="0" applyFont="1" applyFill="1" applyProtection="1">
      <protection locked="0"/>
    </xf>
    <xf numFmtId="0" fontId="5" fillId="4" borderId="6" xfId="0" applyFont="1" applyFill="1" applyBorder="1" applyAlignment="1">
      <alignment wrapText="1"/>
    </xf>
    <xf numFmtId="0" fontId="5" fillId="4" borderId="6" xfId="0" applyFont="1" applyFill="1" applyBorder="1"/>
    <xf numFmtId="0" fontId="4" fillId="4" borderId="6" xfId="2" applyFill="1" applyBorder="1" applyAlignment="1" applyProtection="1">
      <alignment wrapText="1"/>
    </xf>
    <xf numFmtId="49" fontId="5" fillId="4" borderId="6" xfId="0" applyNumberFormat="1" applyFont="1" applyFill="1" applyBorder="1" applyAlignment="1">
      <alignment wrapText="1"/>
    </xf>
    <xf numFmtId="0" fontId="5" fillId="4" borderId="7" xfId="0" applyFont="1" applyFill="1" applyBorder="1" applyAlignment="1">
      <alignment wrapText="1"/>
    </xf>
    <xf numFmtId="0" fontId="5" fillId="0" borderId="6" xfId="0" applyFont="1" applyBorder="1" applyAlignment="1">
      <alignment wrapText="1"/>
    </xf>
    <xf numFmtId="0" fontId="6" fillId="0" borderId="6" xfId="0" applyFont="1" applyBorder="1" applyAlignment="1">
      <alignment wrapText="1"/>
    </xf>
    <xf numFmtId="49" fontId="5" fillId="0" borderId="6" xfId="0" applyNumberFormat="1" applyFont="1" applyBorder="1" applyAlignment="1">
      <alignment wrapText="1"/>
    </xf>
    <xf numFmtId="0" fontId="5" fillId="0" borderId="7" xfId="0" applyFont="1" applyBorder="1" applyAlignment="1">
      <alignment wrapText="1"/>
    </xf>
    <xf numFmtId="0" fontId="5" fillId="0" borderId="6" xfId="0" applyFont="1" applyBorder="1"/>
    <xf numFmtId="0" fontId="0" fillId="6" borderId="6" xfId="0" applyFill="1" applyBorder="1"/>
    <xf numFmtId="49" fontId="0" fillId="6" borderId="6" xfId="0" applyNumberFormat="1" applyFill="1" applyBorder="1"/>
    <xf numFmtId="49" fontId="0" fillId="6" borderId="6" xfId="0" applyNumberFormat="1" applyFill="1" applyBorder="1" applyAlignment="1">
      <alignment wrapText="1"/>
    </xf>
    <xf numFmtId="0" fontId="0" fillId="6" borderId="7" xfId="0" applyFill="1" applyBorder="1"/>
    <xf numFmtId="0" fontId="0" fillId="4" borderId="6" xfId="0" applyFill="1" applyBorder="1" applyProtection="1">
      <protection locked="0"/>
    </xf>
    <xf numFmtId="49" fontId="0" fillId="6" borderId="6" xfId="0" applyNumberFormat="1" applyFill="1" applyBorder="1" applyProtection="1">
      <protection locked="0"/>
    </xf>
    <xf numFmtId="49" fontId="0" fillId="4" borderId="6" xfId="0" applyNumberFormat="1" applyFill="1" applyBorder="1" applyProtection="1">
      <protection locked="0"/>
    </xf>
    <xf numFmtId="49" fontId="0" fillId="4" borderId="6" xfId="0" applyNumberFormat="1" applyFill="1" applyBorder="1" applyAlignment="1" applyProtection="1">
      <alignment wrapText="1"/>
      <protection locked="0"/>
    </xf>
    <xf numFmtId="0" fontId="0" fillId="5" borderId="6" xfId="0" applyFill="1" applyBorder="1" applyProtection="1">
      <protection locked="0"/>
    </xf>
    <xf numFmtId="49" fontId="0" fillId="4" borderId="6" xfId="0" applyNumberFormat="1" applyFill="1" applyBorder="1"/>
    <xf numFmtId="49" fontId="0" fillId="4" borderId="6" xfId="0" applyNumberFormat="1" applyFill="1" applyBorder="1" applyAlignment="1">
      <alignment wrapText="1"/>
    </xf>
    <xf numFmtId="49" fontId="7" fillId="4" borderId="6" xfId="0" applyNumberFormat="1" applyFont="1" applyFill="1" applyBorder="1" applyAlignment="1">
      <alignment vertical="center" wrapText="1"/>
    </xf>
    <xf numFmtId="0" fontId="0" fillId="4" borderId="7" xfId="0" applyFill="1" applyBorder="1"/>
    <xf numFmtId="0" fontId="8" fillId="0" borderId="6" xfId="0" applyFont="1" applyBorder="1"/>
    <xf numFmtId="49" fontId="0" fillId="5" borderId="6" xfId="0" applyNumberFormat="1" applyFill="1" applyBorder="1" applyAlignment="1">
      <alignment wrapText="1"/>
    </xf>
    <xf numFmtId="0" fontId="5" fillId="4" borderId="6" xfId="0" applyFont="1" applyFill="1" applyBorder="1" applyAlignment="1" applyProtection="1">
      <alignment wrapText="1"/>
      <protection locked="0"/>
    </xf>
    <xf numFmtId="49" fontId="5" fillId="4" borderId="6" xfId="0" applyNumberFormat="1" applyFont="1" applyFill="1" applyBorder="1" applyAlignment="1" applyProtection="1">
      <alignment wrapText="1"/>
      <protection locked="0"/>
    </xf>
    <xf numFmtId="0" fontId="5" fillId="4" borderId="7" xfId="0" applyFont="1" applyFill="1" applyBorder="1" applyAlignment="1" applyProtection="1">
      <alignment wrapText="1"/>
      <protection locked="0"/>
    </xf>
    <xf numFmtId="0" fontId="0" fillId="0" borderId="6" xfId="0" applyBorder="1" applyAlignment="1">
      <alignment wrapText="1"/>
    </xf>
    <xf numFmtId="49" fontId="0" fillId="5" borderId="6" xfId="0" applyNumberFormat="1" applyFill="1" applyBorder="1"/>
    <xf numFmtId="0" fontId="9" fillId="0" borderId="6" xfId="0" applyFont="1" applyBorder="1"/>
    <xf numFmtId="49" fontId="4" fillId="0" borderId="6" xfId="2" applyNumberFormat="1" applyBorder="1" applyAlignment="1">
      <alignment wrapText="1"/>
    </xf>
    <xf numFmtId="49" fontId="0" fillId="7" borderId="6" xfId="0" applyNumberFormat="1" applyFill="1" applyBorder="1" applyAlignment="1">
      <alignment horizontal="left"/>
    </xf>
    <xf numFmtId="49" fontId="0" fillId="7" borderId="6" xfId="0" applyNumberFormat="1" applyFill="1" applyBorder="1" applyAlignment="1">
      <alignment wrapText="1"/>
    </xf>
    <xf numFmtId="49" fontId="0" fillId="7" borderId="0" xfId="0" applyNumberFormat="1" applyFill="1" applyAlignment="1">
      <alignment horizontal="left"/>
    </xf>
    <xf numFmtId="49" fontId="0" fillId="7" borderId="0" xfId="0" applyNumberFormat="1" applyFill="1"/>
    <xf numFmtId="49" fontId="0" fillId="0" borderId="0" xfId="0" applyNumberFormat="1"/>
    <xf numFmtId="49" fontId="0" fillId="0" borderId="0" xfId="0" applyNumberFormat="1" applyAlignment="1">
      <alignment wrapText="1"/>
    </xf>
    <xf numFmtId="49" fontId="0" fillId="8" borderId="6" xfId="0" applyNumberFormat="1" applyFill="1" applyBorder="1"/>
    <xf numFmtId="49" fontId="0" fillId="7" borderId="0" xfId="0" applyNumberFormat="1" applyFill="1" applyAlignment="1">
      <alignment wrapText="1"/>
    </xf>
    <xf numFmtId="49" fontId="0" fillId="6" borderId="0" xfId="0" applyNumberFormat="1" applyFill="1" applyAlignment="1">
      <alignment wrapText="1"/>
    </xf>
    <xf numFmtId="49" fontId="0" fillId="6" borderId="0" xfId="0" applyNumberFormat="1" applyFill="1"/>
    <xf numFmtId="49" fontId="0" fillId="5" borderId="6" xfId="0" applyNumberFormat="1" applyFill="1" applyBorder="1" applyProtection="1">
      <protection locked="0"/>
    </xf>
    <xf numFmtId="0" fontId="0" fillId="4" borderId="7" xfId="0" applyFill="1" applyBorder="1" applyProtection="1">
      <protection locked="0"/>
    </xf>
    <xf numFmtId="49" fontId="1" fillId="0" borderId="6" xfId="0" applyNumberFormat="1" applyFont="1" applyBorder="1" applyAlignment="1" applyProtection="1">
      <alignment wrapText="1"/>
      <protection locked="0"/>
    </xf>
    <xf numFmtId="49" fontId="10" fillId="4" borderId="6" xfId="0" applyNumberFormat="1" applyFont="1" applyFill="1" applyBorder="1" applyAlignment="1">
      <alignment vertical="center"/>
    </xf>
    <xf numFmtId="49" fontId="1" fillId="4" borderId="6" xfId="0" applyNumberFormat="1" applyFont="1" applyFill="1" applyBorder="1" applyAlignment="1" applyProtection="1">
      <alignment vertical="center"/>
      <protection locked="0"/>
    </xf>
    <xf numFmtId="0" fontId="1" fillId="4" borderId="6" xfId="0" applyFont="1" applyFill="1" applyBorder="1" applyAlignment="1" applyProtection="1">
      <alignment wrapText="1"/>
      <protection locked="0"/>
    </xf>
    <xf numFmtId="49" fontId="0" fillId="7" borderId="6" xfId="0" applyNumberFormat="1" applyFill="1" applyBorder="1"/>
    <xf numFmtId="49" fontId="0" fillId="8" borderId="6" xfId="0" applyNumberFormat="1" applyFill="1" applyBorder="1" applyAlignment="1">
      <alignment wrapText="1"/>
    </xf>
    <xf numFmtId="49" fontId="4" fillId="6" borderId="6" xfId="2" applyNumberFormat="1" applyFill="1" applyBorder="1"/>
    <xf numFmtId="49" fontId="4" fillId="4" borderId="6" xfId="2" applyNumberFormat="1" applyFill="1" applyBorder="1"/>
    <xf numFmtId="0" fontId="5" fillId="5" borderId="6" xfId="0" applyFont="1" applyFill="1" applyBorder="1"/>
    <xf numFmtId="49" fontId="4" fillId="0" borderId="6" xfId="2" applyNumberFormat="1" applyFill="1" applyBorder="1" applyAlignment="1" applyProtection="1">
      <alignment wrapText="1"/>
    </xf>
    <xf numFmtId="49" fontId="0" fillId="9" borderId="6" xfId="0" applyNumberFormat="1" applyFill="1" applyBorder="1"/>
    <xf numFmtId="49" fontId="0" fillId="7" borderId="6" xfId="0" applyNumberFormat="1" applyFill="1" applyBorder="1" applyAlignment="1">
      <alignment horizontal="left" wrapText="1"/>
    </xf>
    <xf numFmtId="49" fontId="8" fillId="0" borderId="6" xfId="0" applyNumberFormat="1" applyFont="1" applyBorder="1" applyAlignment="1">
      <alignment vertical="center" wrapText="1"/>
    </xf>
    <xf numFmtId="49" fontId="1" fillId="6" borderId="6" xfId="0" applyNumberFormat="1" applyFont="1" applyFill="1" applyBorder="1" applyProtection="1">
      <protection locked="0"/>
    </xf>
    <xf numFmtId="0" fontId="0" fillId="5" borderId="6" xfId="0" applyFill="1" applyBorder="1"/>
    <xf numFmtId="0" fontId="8" fillId="5" borderId="6" xfId="0" applyFont="1" applyFill="1" applyBorder="1"/>
    <xf numFmtId="0" fontId="5" fillId="5" borderId="6" xfId="0" applyFont="1" applyFill="1" applyBorder="1" applyAlignment="1">
      <alignment wrapText="1"/>
    </xf>
    <xf numFmtId="0" fontId="9" fillId="0" borderId="6" xfId="0" applyFont="1" applyBorder="1" applyAlignment="1">
      <alignment wrapText="1"/>
    </xf>
    <xf numFmtId="0" fontId="11" fillId="0" borderId="6" xfId="0" applyFont="1" applyBorder="1" applyAlignment="1">
      <alignment wrapText="1"/>
    </xf>
    <xf numFmtId="0" fontId="5" fillId="5" borderId="6" xfId="0" applyFont="1" applyFill="1" applyBorder="1" applyAlignment="1" applyProtection="1">
      <alignment wrapText="1"/>
      <protection locked="0"/>
    </xf>
    <xf numFmtId="0" fontId="0" fillId="10" borderId="5" xfId="0" applyFill="1" applyBorder="1"/>
    <xf numFmtId="0" fontId="0" fillId="10" borderId="6" xfId="0" applyFill="1" applyBorder="1"/>
    <xf numFmtId="49" fontId="0" fillId="10" borderId="6" xfId="0" applyNumberFormat="1" applyFill="1" applyBorder="1"/>
    <xf numFmtId="49" fontId="0" fillId="10" borderId="6" xfId="0" applyNumberFormat="1" applyFill="1" applyBorder="1" applyAlignment="1">
      <alignment horizontal="left"/>
    </xf>
    <xf numFmtId="49" fontId="0" fillId="10" borderId="6" xfId="0" applyNumberFormat="1" applyFill="1" applyBorder="1" applyAlignment="1">
      <alignment wrapText="1"/>
    </xf>
    <xf numFmtId="14" fontId="0" fillId="10" borderId="6" xfId="0" applyNumberFormat="1" applyFill="1" applyBorder="1"/>
    <xf numFmtId="0" fontId="12" fillId="0" borderId="6" xfId="2" applyFont="1" applyBorder="1" applyAlignment="1" applyProtection="1">
      <alignment wrapText="1"/>
    </xf>
    <xf numFmtId="0" fontId="5" fillId="0" borderId="6" xfId="0" applyFont="1" applyBorder="1" applyAlignment="1">
      <alignment vertical="center"/>
    </xf>
    <xf numFmtId="0" fontId="5" fillId="0" borderId="6" xfId="0" applyFont="1" applyBorder="1" applyAlignment="1">
      <alignment vertical="center" wrapText="1"/>
    </xf>
    <xf numFmtId="49" fontId="13" fillId="4" borderId="6" xfId="0" applyNumberFormat="1" applyFont="1" applyFill="1" applyBorder="1" applyAlignment="1">
      <alignment vertical="center"/>
    </xf>
    <xf numFmtId="49" fontId="13" fillId="4" borderId="6" xfId="0" applyNumberFormat="1" applyFont="1" applyFill="1" applyBorder="1" applyAlignment="1">
      <alignment vertical="center" wrapText="1"/>
    </xf>
    <xf numFmtId="0" fontId="0" fillId="4" borderId="6" xfId="0" applyFill="1" applyBorder="1" applyAlignment="1">
      <alignment wrapText="1"/>
    </xf>
    <xf numFmtId="0" fontId="0" fillId="5" borderId="6" xfId="0" applyFill="1" applyBorder="1" applyAlignment="1">
      <alignment wrapText="1"/>
    </xf>
    <xf numFmtId="49" fontId="1" fillId="4" borderId="6" xfId="0" applyNumberFormat="1" applyFont="1" applyFill="1" applyBorder="1" applyAlignment="1" applyProtection="1">
      <alignment vertical="center" wrapText="1"/>
      <protection locked="0"/>
    </xf>
    <xf numFmtId="49" fontId="4" fillId="6" borderId="6" xfId="2" applyNumberFormat="1" applyFill="1" applyBorder="1" applyAlignment="1">
      <alignment wrapText="1"/>
    </xf>
    <xf numFmtId="49" fontId="0" fillId="10" borderId="6" xfId="0" applyNumberFormat="1" applyFill="1" applyBorder="1" applyAlignment="1">
      <alignment horizontal="left" wrapText="1"/>
    </xf>
    <xf numFmtId="49" fontId="14" fillId="10" borderId="6" xfId="0" applyNumberFormat="1" applyFont="1" applyFill="1" applyBorder="1" applyAlignment="1">
      <alignment wrapText="1"/>
    </xf>
    <xf numFmtId="49" fontId="4" fillId="10" borderId="6" xfId="2" applyNumberFormat="1" applyFill="1" applyBorder="1" applyAlignment="1">
      <alignment wrapText="1"/>
    </xf>
    <xf numFmtId="0" fontId="0" fillId="4" borderId="5" xfId="0" applyFill="1" applyBorder="1"/>
    <xf numFmtId="49" fontId="0" fillId="4" borderId="6" xfId="0" applyNumberFormat="1" applyFill="1" applyBorder="1" applyAlignment="1">
      <alignment horizontal="left" wrapText="1"/>
    </xf>
    <xf numFmtId="14" fontId="0" fillId="4" borderId="6" xfId="0" applyNumberFormat="1" applyFill="1" applyBorder="1"/>
    <xf numFmtId="49" fontId="15" fillId="4" borderId="6" xfId="0" applyNumberFormat="1" applyFont="1" applyFill="1" applyBorder="1" applyAlignment="1">
      <alignment wrapText="1"/>
    </xf>
    <xf numFmtId="0" fontId="5" fillId="4" borderId="6" xfId="0" quotePrefix="1" applyFont="1" applyFill="1" applyBorder="1" applyAlignment="1">
      <alignment wrapText="1"/>
    </xf>
    <xf numFmtId="0" fontId="4" fillId="0" borderId="6" xfId="2" applyBorder="1" applyAlignment="1">
      <alignment wrapText="1"/>
    </xf>
    <xf numFmtId="49" fontId="0" fillId="9" borderId="6" xfId="0" applyNumberFormat="1" applyFill="1" applyBorder="1" applyAlignment="1">
      <alignment wrapText="1"/>
    </xf>
    <xf numFmtId="49" fontId="0" fillId="10" borderId="0" xfId="0" applyNumberFormat="1" applyFill="1"/>
    <xf numFmtId="49" fontId="1" fillId="5" borderId="6" xfId="0" applyNumberFormat="1" applyFont="1" applyFill="1" applyBorder="1" applyAlignment="1" applyProtection="1">
      <alignment wrapText="1"/>
      <protection locked="0"/>
    </xf>
    <xf numFmtId="49" fontId="16" fillId="0" borderId="6" xfId="0" applyNumberFormat="1" applyFont="1" applyBorder="1" applyAlignment="1">
      <alignment vertical="center" wrapText="1"/>
    </xf>
    <xf numFmtId="0" fontId="15" fillId="4" borderId="6" xfId="0" applyFont="1" applyFill="1" applyBorder="1" applyAlignment="1">
      <alignment wrapText="1"/>
    </xf>
    <xf numFmtId="0" fontId="1" fillId="6" borderId="6" xfId="0" applyFont="1" applyFill="1" applyBorder="1" applyProtection="1">
      <protection locked="0"/>
    </xf>
    <xf numFmtId="0" fontId="0" fillId="6" borderId="6" xfId="0" applyFill="1" applyBorder="1" applyProtection="1">
      <protection locked="0"/>
    </xf>
    <xf numFmtId="49" fontId="1" fillId="6" borderId="6" xfId="0" applyNumberFormat="1" applyFont="1" applyFill="1" applyBorder="1" applyAlignment="1" applyProtection="1">
      <alignment wrapText="1"/>
      <protection locked="0"/>
    </xf>
    <xf numFmtId="0" fontId="0" fillId="0" borderId="8" xfId="0" applyBorder="1"/>
    <xf numFmtId="0" fontId="0" fillId="0" borderId="9" xfId="0" applyBorder="1"/>
    <xf numFmtId="0" fontId="0" fillId="4" borderId="9" xfId="0" applyFill="1" applyBorder="1"/>
    <xf numFmtId="49" fontId="0" fillId="0" borderId="9" xfId="0" applyNumberFormat="1" applyBorder="1"/>
    <xf numFmtId="49" fontId="0" fillId="0" borderId="9" xfId="0" applyNumberFormat="1" applyBorder="1" applyAlignment="1">
      <alignment wrapText="1"/>
    </xf>
    <xf numFmtId="0" fontId="1" fillId="4" borderId="9" xfId="0" applyFont="1" applyFill="1" applyBorder="1" applyProtection="1">
      <protection locked="0"/>
    </xf>
    <xf numFmtId="0" fontId="0" fillId="0" borderId="10" xfId="0" applyBorder="1"/>
    <xf numFmtId="0" fontId="0" fillId="0" borderId="11" xfId="0" applyBorder="1"/>
    <xf numFmtId="0" fontId="0" fillId="6" borderId="9" xfId="0" applyFill="1" applyBorder="1"/>
    <xf numFmtId="49" fontId="0" fillId="6" borderId="9" xfId="0" applyNumberFormat="1" applyFill="1" applyBorder="1"/>
    <xf numFmtId="0" fontId="0" fillId="6" borderId="11" xfId="0" applyFill="1" applyBorder="1"/>
    <xf numFmtId="49" fontId="0" fillId="6" borderId="9" xfId="0" applyNumberFormat="1" applyFill="1" applyBorder="1" applyAlignment="1">
      <alignment wrapText="1"/>
    </xf>
    <xf numFmtId="0" fontId="5" fillId="0" borderId="9" xfId="0" applyFont="1" applyBorder="1" applyAlignment="1">
      <alignment wrapText="1"/>
    </xf>
    <xf numFmtId="0" fontId="5" fillId="0" borderId="11" xfId="0" applyFont="1" applyBorder="1" applyAlignment="1">
      <alignment wrapText="1"/>
    </xf>
    <xf numFmtId="0" fontId="16" fillId="0" borderId="9" xfId="0" applyFont="1" applyBorder="1" applyAlignment="1">
      <alignment wrapText="1"/>
    </xf>
    <xf numFmtId="49" fontId="5" fillId="0" borderId="0" xfId="0" applyNumberFormat="1" applyFont="1" applyAlignment="1">
      <alignment wrapText="1"/>
    </xf>
    <xf numFmtId="0" fontId="5" fillId="4" borderId="9" xfId="0" applyFont="1" applyFill="1" applyBorder="1" applyAlignment="1">
      <alignment wrapText="1"/>
    </xf>
    <xf numFmtId="0" fontId="5" fillId="0" borderId="0" xfId="0" applyFont="1" applyAlignment="1">
      <alignment wrapText="1"/>
    </xf>
    <xf numFmtId="49" fontId="0" fillId="4" borderId="0" xfId="0" applyNumberFormat="1" applyFill="1"/>
    <xf numFmtId="49" fontId="0" fillId="4" borderId="9" xfId="0" applyNumberFormat="1" applyFill="1" applyBorder="1" applyAlignment="1">
      <alignment wrapText="1"/>
    </xf>
    <xf numFmtId="0" fontId="0" fillId="4" borderId="9" xfId="0" applyFill="1" applyBorder="1" applyProtection="1">
      <protection locked="0"/>
    </xf>
    <xf numFmtId="0" fontId="1" fillId="4" borderId="11" xfId="0" applyFont="1" applyFill="1" applyBorder="1" applyProtection="1">
      <protection locked="0"/>
    </xf>
    <xf numFmtId="49" fontId="0" fillId="6" borderId="0" xfId="0" applyNumberFormat="1" applyFill="1" applyProtection="1">
      <protection locked="0"/>
    </xf>
    <xf numFmtId="49" fontId="0" fillId="4" borderId="0" xfId="0" applyNumberFormat="1" applyFill="1" applyProtection="1">
      <protection locked="0"/>
    </xf>
    <xf numFmtId="49" fontId="0" fillId="4" borderId="9" xfId="0" applyNumberFormat="1" applyFill="1" applyBorder="1" applyAlignment="1" applyProtection="1">
      <alignment wrapText="1"/>
      <protection locked="0"/>
    </xf>
    <xf numFmtId="0" fontId="0" fillId="4" borderId="11" xfId="0" applyFill="1" applyBorder="1"/>
    <xf numFmtId="49" fontId="0" fillId="5" borderId="0" xfId="0" applyNumberFormat="1" applyFill="1" applyProtection="1">
      <protection locked="0"/>
    </xf>
    <xf numFmtId="0" fontId="0" fillId="5" borderId="9" xfId="0" applyFill="1" applyBorder="1"/>
    <xf numFmtId="49" fontId="1" fillId="5" borderId="0" xfId="0" applyNumberFormat="1" applyFont="1" applyFill="1" applyAlignment="1" applyProtection="1">
      <alignment wrapText="1"/>
      <protection locked="0"/>
    </xf>
    <xf numFmtId="49" fontId="1" fillId="4" borderId="0" xfId="0" applyNumberFormat="1" applyFont="1" applyFill="1" applyAlignment="1" applyProtection="1">
      <alignment wrapText="1"/>
      <protection locked="0"/>
    </xf>
    <xf numFmtId="49" fontId="1" fillId="0" borderId="9" xfId="0" applyNumberFormat="1" applyFont="1" applyBorder="1" applyAlignment="1" applyProtection="1">
      <alignment wrapText="1"/>
      <protection locked="0"/>
    </xf>
    <xf numFmtId="0" fontId="1" fillId="5" borderId="9" xfId="0" applyFont="1" applyFill="1" applyBorder="1" applyProtection="1">
      <protection locked="0"/>
    </xf>
    <xf numFmtId="0" fontId="8" fillId="6" borderId="9" xfId="0" applyFont="1" applyFill="1" applyBorder="1"/>
    <xf numFmtId="49" fontId="8" fillId="6" borderId="9" xfId="0" applyNumberFormat="1" applyFont="1" applyFill="1" applyBorder="1"/>
    <xf numFmtId="49" fontId="17" fillId="6" borderId="0" xfId="0" applyNumberFormat="1" applyFont="1" applyFill="1" applyAlignment="1">
      <alignment wrapText="1"/>
    </xf>
    <xf numFmtId="49" fontId="17" fillId="6" borderId="0" xfId="0" applyNumberFormat="1" applyFont="1" applyFill="1"/>
    <xf numFmtId="0" fontId="6" fillId="0" borderId="11" xfId="0" applyFont="1" applyBorder="1" applyAlignment="1">
      <alignment wrapText="1"/>
    </xf>
    <xf numFmtId="49" fontId="18" fillId="0" borderId="0" xfId="0" applyNumberFormat="1" applyFont="1" applyAlignment="1">
      <alignment wrapText="1"/>
    </xf>
    <xf numFmtId="49" fontId="5" fillId="0" borderId="9" xfId="0" applyNumberFormat="1" applyFont="1" applyBorder="1" applyAlignment="1">
      <alignment wrapText="1"/>
    </xf>
    <xf numFmtId="0" fontId="5" fillId="4" borderId="11" xfId="0" applyFont="1" applyFill="1" applyBorder="1" applyAlignment="1">
      <alignment wrapText="1"/>
    </xf>
    <xf numFmtId="0" fontId="12" fillId="4" borderId="9" xfId="2" quotePrefix="1" applyFont="1" applyFill="1" applyBorder="1" applyAlignment="1" applyProtection="1">
      <alignment vertical="center" wrapText="1"/>
    </xf>
    <xf numFmtId="0" fontId="16" fillId="4" borderId="9" xfId="0" applyFont="1" applyFill="1" applyBorder="1" applyAlignment="1">
      <alignment wrapText="1"/>
    </xf>
    <xf numFmtId="49" fontId="5" fillId="4" borderId="0" xfId="0" applyNumberFormat="1" applyFont="1" applyFill="1" applyAlignment="1">
      <alignment wrapText="1"/>
    </xf>
    <xf numFmtId="0" fontId="5" fillId="4" borderId="0" xfId="0" applyFont="1" applyFill="1" applyAlignment="1">
      <alignment wrapText="1"/>
    </xf>
    <xf numFmtId="0" fontId="19" fillId="4" borderId="9" xfId="0" applyFont="1" applyFill="1" applyBorder="1" applyAlignment="1">
      <alignment vertical="center"/>
    </xf>
    <xf numFmtId="49" fontId="20" fillId="6" borderId="0" xfId="0" applyNumberFormat="1" applyFont="1" applyFill="1" applyAlignment="1">
      <alignment vertical="center"/>
    </xf>
    <xf numFmtId="49" fontId="0" fillId="5" borderId="0" xfId="0" applyNumberFormat="1" applyFill="1"/>
    <xf numFmtId="49" fontId="4" fillId="6" borderId="0" xfId="2" applyNumberFormat="1" applyFill="1" applyBorder="1" applyProtection="1">
      <protection locked="0"/>
    </xf>
    <xf numFmtId="0" fontId="21" fillId="6" borderId="11" xfId="0" applyFont="1" applyFill="1" applyBorder="1"/>
    <xf numFmtId="0" fontId="8" fillId="0" borderId="9" xfId="0" applyFont="1" applyBorder="1"/>
    <xf numFmtId="0" fontId="1" fillId="6" borderId="9" xfId="0" applyFont="1" applyFill="1" applyBorder="1" applyProtection="1">
      <protection locked="0"/>
    </xf>
    <xf numFmtId="0" fontId="0" fillId="6" borderId="9" xfId="0" applyFill="1" applyBorder="1" applyProtection="1">
      <protection locked="0"/>
    </xf>
    <xf numFmtId="49" fontId="0" fillId="6" borderId="9" xfId="0" applyNumberFormat="1" applyFill="1" applyBorder="1" applyProtection="1">
      <protection locked="0"/>
    </xf>
    <xf numFmtId="0" fontId="1" fillId="6" borderId="11" xfId="0" applyFont="1" applyFill="1" applyBorder="1" applyProtection="1">
      <protection locked="0"/>
    </xf>
    <xf numFmtId="49" fontId="1" fillId="6" borderId="0" xfId="0" applyNumberFormat="1" applyFont="1" applyFill="1" applyProtection="1">
      <protection locked="0"/>
    </xf>
    <xf numFmtId="49" fontId="1" fillId="6" borderId="9" xfId="0" applyNumberFormat="1" applyFont="1" applyFill="1" applyBorder="1" applyAlignment="1" applyProtection="1">
      <alignment wrapText="1"/>
      <protection locked="0"/>
    </xf>
    <xf numFmtId="0" fontId="1" fillId="6" borderId="9" xfId="0" applyFont="1" applyFill="1" applyBorder="1" applyAlignment="1" applyProtection="1">
      <alignment wrapText="1"/>
      <protection locked="0"/>
    </xf>
    <xf numFmtId="49" fontId="4" fillId="5" borderId="0" xfId="2" applyNumberFormat="1" applyFill="1" applyBorder="1" applyProtection="1">
      <protection locked="0"/>
    </xf>
    <xf numFmtId="49" fontId="16" fillId="4" borderId="0" xfId="0" applyNumberFormat="1" applyFont="1" applyFill="1" applyAlignment="1">
      <alignment wrapText="1"/>
    </xf>
    <xf numFmtId="49" fontId="16" fillId="0" borderId="0" xfId="0" applyNumberFormat="1" applyFont="1" applyAlignment="1">
      <alignment wrapText="1"/>
    </xf>
    <xf numFmtId="49" fontId="1" fillId="4" borderId="9" xfId="0" applyNumberFormat="1" applyFont="1" applyFill="1" applyBorder="1" applyAlignment="1" applyProtection="1">
      <alignment wrapText="1"/>
      <protection locked="0"/>
    </xf>
    <xf numFmtId="49" fontId="1" fillId="4" borderId="0" xfId="0" applyNumberFormat="1" applyFont="1" applyFill="1" applyProtection="1">
      <protection locked="0"/>
    </xf>
    <xf numFmtId="0" fontId="22" fillId="6" borderId="11" xfId="0" applyFont="1" applyFill="1" applyBorder="1"/>
    <xf numFmtId="49" fontId="4" fillId="6" borderId="0" xfId="2" applyNumberFormat="1" applyFill="1" applyBorder="1"/>
    <xf numFmtId="49" fontId="22" fillId="6" borderId="9" xfId="0" applyNumberFormat="1" applyFont="1" applyFill="1" applyBorder="1" applyAlignment="1">
      <alignment wrapText="1"/>
    </xf>
    <xf numFmtId="0" fontId="0" fillId="6" borderId="9" xfId="0" applyFill="1" applyBorder="1" applyAlignment="1">
      <alignment wrapText="1"/>
    </xf>
    <xf numFmtId="49" fontId="4" fillId="6" borderId="9" xfId="2" applyNumberFormat="1" applyFill="1" applyBorder="1" applyAlignment="1">
      <alignment wrapText="1"/>
    </xf>
    <xf numFmtId="0" fontId="0" fillId="0" borderId="10" xfId="0" applyBorder="1" applyAlignment="1">
      <alignment wrapText="1"/>
    </xf>
    <xf numFmtId="49" fontId="4" fillId="6" borderId="9" xfId="2" applyNumberFormat="1" applyFill="1" applyBorder="1" applyAlignment="1" applyProtection="1">
      <alignment wrapText="1"/>
      <protection locked="0"/>
    </xf>
    <xf numFmtId="0" fontId="5" fillId="0" borderId="9" xfId="2" applyFont="1" applyBorder="1" applyAlignment="1" applyProtection="1">
      <alignment vertical="top" wrapText="1"/>
    </xf>
    <xf numFmtId="0" fontId="5" fillId="5" borderId="9" xfId="0" applyFont="1" applyFill="1" applyBorder="1" applyAlignment="1">
      <alignment wrapText="1"/>
    </xf>
    <xf numFmtId="0" fontId="5" fillId="0" borderId="0" xfId="0" applyFont="1"/>
    <xf numFmtId="0" fontId="9" fillId="0" borderId="11" xfId="0" applyFont="1" applyBorder="1" applyAlignment="1">
      <alignment wrapText="1"/>
    </xf>
    <xf numFmtId="0" fontId="11" fillId="0" borderId="0" xfId="0" applyFont="1" applyAlignment="1">
      <alignment wrapText="1"/>
    </xf>
    <xf numFmtId="49" fontId="7" fillId="0" borderId="9" xfId="2" applyNumberFormat="1" applyFont="1" applyBorder="1" applyAlignment="1">
      <alignment wrapText="1"/>
    </xf>
    <xf numFmtId="0" fontId="0" fillId="0" borderId="11" xfId="0" applyBorder="1" applyAlignment="1">
      <alignment wrapText="1"/>
    </xf>
    <xf numFmtId="14" fontId="0" fillId="0" borderId="9" xfId="0" applyNumberFormat="1" applyBorder="1"/>
    <xf numFmtId="0" fontId="23" fillId="0" borderId="11" xfId="0" applyFont="1" applyBorder="1" applyAlignment="1">
      <alignment wrapText="1"/>
    </xf>
    <xf numFmtId="0" fontId="0" fillId="4" borderId="9" xfId="0" applyFill="1" applyBorder="1" applyAlignment="1">
      <alignment wrapText="1"/>
    </xf>
    <xf numFmtId="0" fontId="16" fillId="4" borderId="0" xfId="0" applyFont="1" applyFill="1" applyAlignment="1">
      <alignment vertical="center" wrapText="1"/>
    </xf>
    <xf numFmtId="0" fontId="0" fillId="0" borderId="9" xfId="0" applyBorder="1" applyAlignment="1">
      <alignment wrapText="1"/>
    </xf>
    <xf numFmtId="49" fontId="16" fillId="4" borderId="0" xfId="0" applyNumberFormat="1" applyFont="1" applyFill="1" applyAlignment="1">
      <alignment vertical="center" wrapText="1"/>
    </xf>
    <xf numFmtId="0" fontId="24" fillId="0" borderId="9" xfId="0" applyFont="1" applyBorder="1"/>
    <xf numFmtId="0" fontId="24" fillId="0" borderId="0" xfId="0" applyFont="1"/>
    <xf numFmtId="0" fontId="25" fillId="6" borderId="9" xfId="0" applyFont="1" applyFill="1" applyBorder="1"/>
    <xf numFmtId="0" fontId="25" fillId="6" borderId="11" xfId="0" applyFont="1" applyFill="1" applyBorder="1" applyAlignment="1">
      <alignment vertical="center"/>
    </xf>
    <xf numFmtId="49" fontId="4" fillId="0" borderId="9" xfId="2" applyNumberFormat="1" applyFill="1" applyBorder="1" applyAlignment="1">
      <alignment wrapText="1"/>
    </xf>
    <xf numFmtId="49" fontId="17" fillId="0" borderId="9" xfId="0" applyNumberFormat="1" applyFont="1" applyBorder="1" applyAlignment="1">
      <alignment wrapText="1"/>
    </xf>
    <xf numFmtId="49" fontId="5" fillId="6" borderId="0" xfId="0" applyNumberFormat="1" applyFont="1" applyFill="1"/>
    <xf numFmtId="49" fontId="5" fillId="4" borderId="0" xfId="0" applyNumberFormat="1" applyFont="1" applyFill="1"/>
    <xf numFmtId="0" fontId="0" fillId="10" borderId="8" xfId="0" applyFill="1" applyBorder="1"/>
    <xf numFmtId="0" fontId="0" fillId="10" borderId="9" xfId="0" applyFill="1" applyBorder="1"/>
    <xf numFmtId="49" fontId="0" fillId="10" borderId="9" xfId="0" applyNumberFormat="1" applyFill="1" applyBorder="1"/>
    <xf numFmtId="0" fontId="0" fillId="10" borderId="11" xfId="0" applyFill="1" applyBorder="1"/>
    <xf numFmtId="49" fontId="0" fillId="10" borderId="9" xfId="0" applyNumberFormat="1" applyFill="1" applyBorder="1" applyAlignment="1">
      <alignment wrapText="1"/>
    </xf>
    <xf numFmtId="0" fontId="0" fillId="10" borderId="0" xfId="0" applyFill="1"/>
    <xf numFmtId="14" fontId="0" fillId="10" borderId="9" xfId="0" applyNumberFormat="1" applyFill="1" applyBorder="1"/>
    <xf numFmtId="49" fontId="0" fillId="8" borderId="0" xfId="0" applyNumberFormat="1" applyFill="1"/>
    <xf numFmtId="0" fontId="5" fillId="4" borderId="9" xfId="0" applyFont="1" applyFill="1" applyBorder="1" applyAlignment="1" applyProtection="1">
      <alignment wrapText="1"/>
      <protection locked="0"/>
    </xf>
    <xf numFmtId="0" fontId="0" fillId="4" borderId="11" xfId="0" applyFill="1" applyBorder="1" applyProtection="1">
      <protection locked="0"/>
    </xf>
    <xf numFmtId="49" fontId="0" fillId="4" borderId="0" xfId="0" applyNumberFormat="1" applyFill="1" applyAlignment="1" applyProtection="1">
      <alignment wrapText="1"/>
      <protection locked="0"/>
    </xf>
    <xf numFmtId="49" fontId="5" fillId="4" borderId="9" xfId="0" applyNumberFormat="1" applyFont="1" applyFill="1" applyBorder="1" applyAlignment="1" applyProtection="1">
      <alignment wrapText="1"/>
      <protection locked="0"/>
    </xf>
    <xf numFmtId="49" fontId="0" fillId="8" borderId="0" xfId="0" applyNumberFormat="1" applyFill="1" applyAlignment="1">
      <alignment wrapText="1"/>
    </xf>
    <xf numFmtId="49" fontId="0" fillId="7" borderId="0" xfId="0" applyNumberFormat="1" applyFill="1" applyAlignment="1">
      <alignment horizontal="left" wrapText="1"/>
    </xf>
    <xf numFmtId="0" fontId="0" fillId="0" borderId="12" xfId="0" applyBorder="1"/>
    <xf numFmtId="49" fontId="0" fillId="0" borderId="0" xfId="0" applyNumberFormat="1" applyAlignment="1">
      <alignment horizontal="left" wrapText="1"/>
    </xf>
    <xf numFmtId="0" fontId="8" fillId="6" borderId="6" xfId="0" applyFont="1" applyFill="1" applyBorder="1"/>
    <xf numFmtId="0" fontId="8" fillId="6" borderId="11" xfId="0" applyFont="1" applyFill="1" applyBorder="1"/>
    <xf numFmtId="0" fontId="0" fillId="5" borderId="9" xfId="0" applyFill="1" applyBorder="1" applyAlignment="1">
      <alignment wrapText="1"/>
    </xf>
    <xf numFmtId="0" fontId="26" fillId="0" borderId="6" xfId="0" applyFont="1" applyBorder="1" applyAlignment="1">
      <alignment horizontal="left" vertical="center"/>
    </xf>
    <xf numFmtId="0" fontId="24" fillId="11" borderId="3" xfId="0" applyFont="1" applyFill="1" applyBorder="1" applyAlignment="1">
      <alignment vertical="center"/>
    </xf>
    <xf numFmtId="0" fontId="24" fillId="0" borderId="6" xfId="0" applyFont="1" applyBorder="1" applyAlignment="1">
      <alignment wrapText="1"/>
    </xf>
    <xf numFmtId="0" fontId="24" fillId="12" borderId="6" xfId="0" applyFont="1" applyFill="1" applyBorder="1" applyAlignment="1">
      <alignment vertical="center"/>
    </xf>
    <xf numFmtId="0" fontId="24" fillId="13" borderId="6" xfId="0" applyFont="1" applyFill="1" applyBorder="1" applyAlignment="1">
      <alignment vertical="center"/>
    </xf>
    <xf numFmtId="0" fontId="24" fillId="14" borderId="6" xfId="0" applyFont="1" applyFill="1" applyBorder="1" applyAlignment="1">
      <alignment vertical="center"/>
    </xf>
    <xf numFmtId="0" fontId="24" fillId="15" borderId="6" xfId="0" applyFont="1" applyFill="1" applyBorder="1" applyAlignment="1">
      <alignment vertical="center"/>
    </xf>
    <xf numFmtId="0" fontId="24" fillId="16" borderId="6" xfId="0" applyFont="1" applyFill="1" applyBorder="1" applyAlignment="1">
      <alignment vertical="center"/>
    </xf>
    <xf numFmtId="0" fontId="24" fillId="0" borderId="12" xfId="0" applyFont="1" applyBorder="1" applyAlignment="1">
      <alignment wrapText="1"/>
    </xf>
  </cellXfs>
  <cellStyles count="3">
    <cellStyle name="Check Cell" xfId="1" builtinId="23"/>
    <cellStyle name="Hyperlink" xfId="2" builtinId="8"/>
    <cellStyle name="Normal" xfId="0" builtinId="0"/>
  </cellStyles>
  <dxfs count="53">
    <dxf>
      <fill>
        <patternFill patternType="none">
          <fgColor indexed="64"/>
          <bgColor indexed="65"/>
        </patternFill>
      </fill>
      <border diagonalUp="0" diagonalDown="0">
        <left style="thin">
          <color indexed="64"/>
        </left>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dxf>
    <dxf>
      <numFmt numFmtId="30" formatCode="@"/>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left style="thin">
          <color indexed="64"/>
        </left>
      </border>
    </dxf>
    <dxf>
      <numFmt numFmtId="30" formatCode="@"/>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rgb="FF002060"/>
        </patternFill>
      </fill>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5050"/>
        </patternFill>
      </fill>
    </dxf>
    <dxf>
      <fill>
        <patternFill>
          <bgColor rgb="FFCC99FF"/>
        </patternFill>
      </fill>
    </dxf>
    <dxf>
      <fill>
        <patternFill>
          <bgColor rgb="FFB2B2B2"/>
        </patternFill>
      </fill>
    </dxf>
    <dxf>
      <fill>
        <patternFill>
          <bgColor theme="9" tint="0.59996337778862885"/>
        </patternFill>
      </fill>
    </dxf>
    <dxf>
      <fill>
        <patternFill>
          <bgColor rgb="FFCC9900"/>
        </patternFill>
      </fill>
    </dxf>
    <dxf>
      <fill>
        <patternFill>
          <bgColor rgb="FF99CCFF"/>
        </patternFill>
      </fill>
    </dxf>
    <dxf>
      <fill>
        <patternFill>
          <bgColor rgb="FFFFCCFF"/>
        </patternFill>
      </fill>
    </dxf>
    <dxf>
      <fill>
        <patternFill patternType="solid">
          <bgColor rgb="FF00F8F2"/>
        </patternFill>
      </fill>
    </dxf>
    <dxf>
      <fill>
        <patternFill patternType="solid">
          <bgColor rgb="FF33CCCC"/>
        </patternFill>
      </fill>
    </dxf>
    <dxf>
      <fill>
        <patternFill patternType="solid">
          <bgColor theme="2"/>
        </patternFill>
      </fill>
    </dxf>
    <dxf>
      <font>
        <color theme="0"/>
      </font>
      <fill>
        <patternFill patternType="solid">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F51ACA-A085-4989-9F5A-4728624590B7}" name="Table1" displayName="Table1" ref="A1:AB644" totalsRowShown="0" headerRowDxfId="26" headerRowBorderDxfId="24" tableBorderDxfId="25" headerRowCellStyle="Check Cell">
  <autoFilter ref="A1:AB644" xr:uid="{C6E0D815-0DD0-48AF-891F-A89F1B40481E}"/>
  <tableColumns count="28">
    <tableColumn id="1" xr3:uid="{B3CC3300-BC14-4A19-8787-3E66F3225660}" name="Connection Type" dataDxfId="23"/>
    <tableColumn id="2" xr3:uid="{9E196950-D5F8-4760-99CC-1861B0CE6FFE}" name="Location" dataDxfId="22"/>
    <tableColumn id="12" xr3:uid="{4F2AEB1F-E3BE-4D8D-87CD-1FF150CDB285}" name="Retail/PSS" dataDxfId="21"/>
    <tableColumn id="3" xr3:uid="{2A4F12F5-6662-4FD5-A552-5593F48EC4A9}" name="Device" dataDxfId="20"/>
    <tableColumn id="4" xr3:uid="{1ADDF185-A537-4FE8-8F3E-7980FD57BD9F}" name="Partner Name" dataDxfId="19"/>
    <tableColumn id="5" xr3:uid="{F093342B-E779-47B6-A571-A52F92DB819E}" name="Phase" dataDxfId="18"/>
    <tableColumn id="6" xr3:uid="{F0C62D03-068A-4C8D-8490-6472B7D85B47}" name="Tunnel Status" dataDxfId="17"/>
    <tableColumn id="7" xr3:uid="{F2CC24D5-CCC1-4041-8660-612BAEEC33CF}" name="Previous Status" dataDxfId="16"/>
    <tableColumn id="8" xr3:uid="{D5C3AD8A-2331-415B-9B2F-4259BED53ECE}" name="Partner Peer IP" dataDxfId="15"/>
    <tableColumn id="9" xr3:uid="{2FA65DEE-C5D5-4D4A-858A-8BFBCDC75FDE}" name="CVS/Caremark Peer IP" dataDxfId="14"/>
    <tableColumn id="10" xr3:uid="{0027520B-9866-46D0-B945-18258217C877}" name="IKE version" dataDxfId="13"/>
    <tableColumn id="11" xr3:uid="{F989426D-19C6-4152-92FE-45CCF5F2E193}" name="CVS/Aetna Business Owner Contact" dataDxfId="12"/>
    <tableColumn id="29" xr3:uid="{2DA8D840-6260-425B-B651-5F3A258FB9CC}" name="Email Tracker"/>
    <tableColumn id="13" xr3:uid="{2EDB2587-CC69-4AE4-864E-54A65A5F0CA5}" name="Response Tracker" dataDxfId="11"/>
    <tableColumn id="14" xr3:uid="{3A0786AF-9F61-44A0-91C7-BE395091656F}" name="Partner Contact" dataDxfId="10"/>
    <tableColumn id="15" xr3:uid="{67824567-5025-4BDF-BAB3-01139C4F2860}" name="Inbound/Outbound" dataDxfId="9"/>
    <tableColumn id="16" xr3:uid="{A3776838-4445-4664-BDA7-B86A27C8499F}" name="Resource Accessed" dataDxfId="8"/>
    <tableColumn id="17" xr3:uid="{D5E19932-08C4-4C08-9FBA-1E2D213F5668}" name="Primary, Backup B2B VPN, Redundant, or Failover" dataDxfId="7"/>
    <tableColumn id="18" xr3:uid="{B66A5DD8-A828-4B1A-BBC1-BEAC4E5E6325}" name="EQ Rack #"/>
    <tableColumn id="19" xr3:uid="{4D1BF7FC-B31F-436A-903E-A05AB3A03CC4}" name="EQ Type"/>
    <tableColumn id="20" xr3:uid="{0BCD187D-09AE-4DB8-A2BF-7F5063A0451E}" name="Circuit #/Patch #" dataDxfId="6"/>
    <tableColumn id="21" xr3:uid="{52FE22B7-4C53-47CA-B3DD-C56BF526A879}" name="DBU/CSU Info (ISDN or dial)" dataDxfId="5"/>
    <tableColumn id="22" xr3:uid="{EC87EF1F-522A-4A34-B6A4-5B410DB14EC3}" name="Tester" dataDxfId="4"/>
    <tableColumn id="23" xr3:uid="{02CDC91D-DF0A-4015-A9D5-F5327527AE96}" name="Checkout Person"/>
    <tableColumn id="24" xr3:uid="{708A4C11-767D-428C-B068-AE0DC8040314}" name="Information Capture Date" dataDxfId="3"/>
    <tableColumn id="25" xr3:uid="{A1BE7CA4-680C-49C2-B8DF-A88EB5D38DE8}" name="Vendor/Client" dataDxfId="2"/>
    <tableColumn id="27" xr3:uid="{FF5ABC09-8F31-4B6B-BDC0-C0CF0C4D5533}" name="ConnectionKey" dataDxfId="1"/>
    <tableColumn id="26" xr3:uid="{8A6ABA2F-647B-4968-9EC2-E3C55485A2DA}" name="Not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jbourgery@colospace.com" TargetMode="External"/><Relationship Id="rId13" Type="http://schemas.openxmlformats.org/officeDocument/2006/relationships/hyperlink" Target="mailto:craig.mcclellan@nuance.com" TargetMode="External"/><Relationship Id="rId18" Type="http://schemas.openxmlformats.org/officeDocument/2006/relationships/hyperlink" Target="mailto:nicole.kueker@concentrix.com" TargetMode="External"/><Relationship Id="rId26" Type="http://schemas.openxmlformats.org/officeDocument/2006/relationships/printerSettings" Target="../printerSettings/printerSettings1.bin"/><Relationship Id="rId3" Type="http://schemas.openxmlformats.org/officeDocument/2006/relationships/hyperlink" Target="mailto:JPAGANO@orthonet-online.com" TargetMode="External"/><Relationship Id="rId21" Type="http://schemas.openxmlformats.org/officeDocument/2006/relationships/hyperlink" Target="mailto:JUDITH.LEVIN@AETNA.COM" TargetMode="External"/><Relationship Id="rId7" Type="http://schemas.openxmlformats.org/officeDocument/2006/relationships/hyperlink" Target="mailto:JUDITH.LEVIN@AETNA.COM" TargetMode="External"/><Relationship Id="rId12" Type="http://schemas.openxmlformats.org/officeDocument/2006/relationships/hyperlink" Target="mailto:Thomas.Casey@teradata.com" TargetMode="External"/><Relationship Id="rId17" Type="http://schemas.openxmlformats.org/officeDocument/2006/relationships/hyperlink" Target="mailto:MARY.BUTLER-EVERSON@AVANEERHEALTH.COM" TargetMode="External"/><Relationship Id="rId25" Type="http://schemas.openxmlformats.org/officeDocument/2006/relationships/hyperlink" Target="mailto:michele.petruzziello@microsoft.com" TargetMode="External"/><Relationship Id="rId2" Type="http://schemas.openxmlformats.org/officeDocument/2006/relationships/hyperlink" Target="mailto:MooreM3@aetna.com" TargetMode="External"/><Relationship Id="rId16" Type="http://schemas.openxmlformats.org/officeDocument/2006/relationships/hyperlink" Target="mailto:sanjeevk.kumar@cvshealth.com" TargetMode="External"/><Relationship Id="rId20" Type="http://schemas.openxmlformats.org/officeDocument/2006/relationships/hyperlink" Target="mailto:DamatoS@AETNA.com/SanchezC3@AETNA.com" TargetMode="External"/><Relationship Id="rId1" Type="http://schemas.openxmlformats.org/officeDocument/2006/relationships/hyperlink" Target="mailto:evalverde@omhc.com/techsupport@omhc.com" TargetMode="External"/><Relationship Id="rId6" Type="http://schemas.openxmlformats.org/officeDocument/2006/relationships/hyperlink" Target="mailto:support@clearobject.com" TargetMode="External"/><Relationship Id="rId11" Type="http://schemas.openxmlformats.org/officeDocument/2006/relationships/hyperlink" Target="mailto:HowardT4@AETNA.com%20%20%20%20%20%20%20%20%20%20%20860-273-5791" TargetMode="External"/><Relationship Id="rId24" Type="http://schemas.openxmlformats.org/officeDocument/2006/relationships/hyperlink" Target="mailto:ADRONEY@ADT.COM" TargetMode="External"/><Relationship Id="rId5" Type="http://schemas.openxmlformats.org/officeDocument/2006/relationships/hyperlink" Target="http://www.adminotc.com/" TargetMode="External"/><Relationship Id="rId15" Type="http://schemas.openxmlformats.org/officeDocument/2006/relationships/hyperlink" Target="mailto:matthew.neis@conduent.com" TargetMode="External"/><Relationship Id="rId23" Type="http://schemas.openxmlformats.org/officeDocument/2006/relationships/hyperlink" Target="mailto:LucianoM@aetna.com/Nelsen,%20Keith" TargetMode="External"/><Relationship Id="rId10" Type="http://schemas.openxmlformats.org/officeDocument/2006/relationships/hyperlink" Target="mailto:cahmad@selmanco.com" TargetMode="External"/><Relationship Id="rId19" Type="http://schemas.openxmlformats.org/officeDocument/2006/relationships/hyperlink" Target="mailto:BuckleyMT@aetna.com" TargetMode="External"/><Relationship Id="rId4" Type="http://schemas.openxmlformats.org/officeDocument/2006/relationships/hyperlink" Target="mailto:zzzISEngineering@teletech.com" TargetMode="External"/><Relationship Id="rId9" Type="http://schemas.openxmlformats.org/officeDocument/2006/relationships/hyperlink" Target="mailto:yancy.meiller@afspa.org/hsharaf@gocloudforce.com" TargetMode="External"/><Relationship Id="rId14" Type="http://schemas.openxmlformats.org/officeDocument/2006/relationships/hyperlink" Target="mailto:SAM.CARLISLE@ORACLE.COM" TargetMode="External"/><Relationship Id="rId22" Type="http://schemas.openxmlformats.org/officeDocument/2006/relationships/hyperlink" Target="mailto:lsinger@aetna.com" TargetMode="External"/><Relationship Id="rId2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4BA6-E0C8-4388-916B-52109446FABD}">
  <dimension ref="A1:B7"/>
  <sheetViews>
    <sheetView tabSelected="1" workbookViewId="0">
      <selection activeCell="E3" sqref="E3"/>
    </sheetView>
  </sheetViews>
  <sheetFormatPr defaultRowHeight="14.5" x14ac:dyDescent="0.35"/>
  <cols>
    <col min="1" max="1" width="33.453125" customWidth="1"/>
    <col min="2" max="2" width="42.81640625" customWidth="1"/>
  </cols>
  <sheetData>
    <row r="1" spans="1:2" x14ac:dyDescent="0.35">
      <c r="A1" s="229" t="s">
        <v>3539</v>
      </c>
      <c r="B1" s="229" t="s">
        <v>3540</v>
      </c>
    </row>
    <row r="2" spans="1:2" ht="29" x14ac:dyDescent="0.35">
      <c r="A2" s="230" t="s">
        <v>51</v>
      </c>
      <c r="B2" s="231" t="s">
        <v>3541</v>
      </c>
    </row>
    <row r="3" spans="1:2" ht="43.5" x14ac:dyDescent="0.35">
      <c r="A3" s="232" t="s">
        <v>35</v>
      </c>
      <c r="B3" s="231" t="s">
        <v>3542</v>
      </c>
    </row>
    <row r="4" spans="1:2" ht="29" x14ac:dyDescent="0.35">
      <c r="A4" s="233" t="s">
        <v>235</v>
      </c>
      <c r="B4" s="231" t="s">
        <v>3543</v>
      </c>
    </row>
    <row r="5" spans="1:2" ht="29" x14ac:dyDescent="0.35">
      <c r="A5" s="234" t="s">
        <v>145</v>
      </c>
      <c r="B5" s="231" t="s">
        <v>3544</v>
      </c>
    </row>
    <row r="6" spans="1:2" x14ac:dyDescent="0.35">
      <c r="A6" s="235" t="s">
        <v>136</v>
      </c>
      <c r="B6" s="231" t="s">
        <v>3545</v>
      </c>
    </row>
    <row r="7" spans="1:2" ht="29" x14ac:dyDescent="0.35">
      <c r="A7" s="236" t="s">
        <v>3102</v>
      </c>
      <c r="B7" s="237" t="s">
        <v>3546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DD87-BC3C-40C0-8135-BC5448635CA7}">
  <dimension ref="A1:AG644"/>
  <sheetViews>
    <sheetView zoomScaleNormal="100" workbookViewId="0">
      <pane ySplit="1" topLeftCell="A2" activePane="bottomLeft" state="frozen"/>
      <selection pane="bottomLeft" activeCell="E565" sqref="E565"/>
    </sheetView>
  </sheetViews>
  <sheetFormatPr defaultRowHeight="12.9" customHeight="1" x14ac:dyDescent="0.35"/>
  <cols>
    <col min="1" max="1" width="18.54296875" style="7" bestFit="1" customWidth="1"/>
    <col min="2" max="2" width="10.90625" style="8" customWidth="1"/>
    <col min="3" max="3" width="12.54296875" style="224" customWidth="1"/>
    <col min="4" max="4" width="23.453125" style="8" customWidth="1"/>
    <col min="5" max="5" width="41" style="29" bestFit="1" customWidth="1"/>
    <col min="6" max="6" width="18.6328125" style="9" bestFit="1" customWidth="1"/>
    <col min="7" max="7" width="21.08984375" style="8" customWidth="1"/>
    <col min="8" max="8" width="22.08984375" style="10" customWidth="1"/>
    <col min="9" max="9" width="16.453125" style="127" customWidth="1"/>
    <col min="10" max="10" width="15" style="8" customWidth="1"/>
    <col min="11" max="11" width="13.08984375" style="8" customWidth="1"/>
    <col min="12" max="12" width="35.08984375" style="60" customWidth="1"/>
    <col min="13" max="14" width="24.453125" style="60" customWidth="1"/>
    <col min="15" max="15" width="17.453125" style="31" customWidth="1"/>
    <col min="16" max="16" width="20.453125" style="8" customWidth="1"/>
    <col min="17" max="17" width="20.54296875" style="29" customWidth="1"/>
    <col min="18" max="18" width="46.54296875" style="29" customWidth="1"/>
    <col min="19" max="19" width="11.90625" customWidth="1"/>
    <col min="20" max="20" width="15.90625" customWidth="1"/>
    <col min="21" max="21" width="17.90625" style="29" customWidth="1"/>
    <col min="22" max="22" width="28" style="29" customWidth="1"/>
    <col min="23" max="23" width="9.08984375" style="29" customWidth="1"/>
    <col min="24" max="24" width="18.54296875" customWidth="1"/>
    <col min="25" max="25" width="26.08984375" style="13" customWidth="1"/>
    <col min="26" max="26" width="16.90625" style="8" customWidth="1"/>
    <col min="27" max="27" width="52.90625" style="12" customWidth="1"/>
    <col min="28" max="28" width="32.54296875" style="12" customWidth="1"/>
    <col min="30" max="30" width="13.90625" bestFit="1" customWidth="1"/>
    <col min="31" max="32" width="24.90625" customWidth="1"/>
    <col min="33" max="33" width="18.54296875" bestFit="1" customWidth="1"/>
  </cols>
  <sheetData>
    <row r="1" spans="1:33" ht="12.9" customHeight="1" x14ac:dyDescent="0.35">
      <c r="A1" s="1" t="s">
        <v>0</v>
      </c>
      <c r="B1" s="2" t="s">
        <v>1</v>
      </c>
      <c r="C1" s="2" t="s">
        <v>2</v>
      </c>
      <c r="D1" s="2" t="s">
        <v>3</v>
      </c>
      <c r="E1" s="2" t="s">
        <v>4</v>
      </c>
      <c r="F1" s="2" t="s">
        <v>5</v>
      </c>
      <c r="G1" s="2" t="s">
        <v>6</v>
      </c>
      <c r="H1" s="3" t="s">
        <v>7</v>
      </c>
      <c r="I1" s="2" t="s">
        <v>8</v>
      </c>
      <c r="J1" s="2" t="s">
        <v>9</v>
      </c>
      <c r="K1" s="2" t="s">
        <v>10</v>
      </c>
      <c r="L1" s="4" t="s">
        <v>11</v>
      </c>
      <c r="M1" s="5" t="s">
        <v>12</v>
      </c>
      <c r="N1" s="3" t="s">
        <v>13</v>
      </c>
      <c r="O1" s="3" t="s">
        <v>14</v>
      </c>
      <c r="P1" s="2" t="s">
        <v>15</v>
      </c>
      <c r="Q1" s="2" t="s">
        <v>16</v>
      </c>
      <c r="R1" s="6" t="s">
        <v>17</v>
      </c>
      <c r="S1" s="2" t="s">
        <v>18</v>
      </c>
      <c r="T1" s="2" t="s">
        <v>19</v>
      </c>
      <c r="U1" s="2" t="s">
        <v>20</v>
      </c>
      <c r="V1" s="2" t="s">
        <v>21</v>
      </c>
      <c r="W1" s="2" t="s">
        <v>22</v>
      </c>
      <c r="X1" s="2" t="s">
        <v>23</v>
      </c>
      <c r="Y1" s="2" t="s">
        <v>24</v>
      </c>
      <c r="Z1" s="2" t="s">
        <v>25</v>
      </c>
      <c r="AA1" s="6" t="s">
        <v>26</v>
      </c>
      <c r="AB1" s="6" t="s">
        <v>27</v>
      </c>
      <c r="AD1" t="s">
        <v>28</v>
      </c>
      <c r="AE1" t="s">
        <v>29</v>
      </c>
      <c r="AF1" t="s">
        <v>30</v>
      </c>
      <c r="AG1" t="s">
        <v>31</v>
      </c>
    </row>
    <row r="2" spans="1:33" ht="13" customHeight="1" x14ac:dyDescent="0.35">
      <c r="A2" s="7" t="s">
        <v>32</v>
      </c>
      <c r="B2" s="8" t="s">
        <v>33</v>
      </c>
      <c r="C2" s="8"/>
      <c r="E2" s="8" t="s">
        <v>34</v>
      </c>
      <c r="F2" s="9" t="s">
        <v>35</v>
      </c>
      <c r="G2" s="8" t="s">
        <v>36</v>
      </c>
      <c r="H2" s="10" t="s">
        <v>37</v>
      </c>
      <c r="I2" s="8" t="s">
        <v>38</v>
      </c>
      <c r="J2" s="8" t="s">
        <v>39</v>
      </c>
      <c r="K2" s="8" t="s">
        <v>40</v>
      </c>
      <c r="L2" s="10"/>
      <c r="M2" s="10"/>
      <c r="N2" s="10"/>
      <c r="O2" s="11"/>
      <c r="Q2" s="8"/>
      <c r="R2" s="12"/>
      <c r="S2" s="8"/>
      <c r="T2" s="8"/>
      <c r="U2" s="8"/>
      <c r="V2" s="8"/>
      <c r="W2" s="8"/>
      <c r="X2" s="8"/>
      <c r="Y2" s="13">
        <v>45581</v>
      </c>
      <c r="AA2" s="14" t="s">
        <v>41</v>
      </c>
      <c r="AB2" s="15" t="s">
        <v>42</v>
      </c>
      <c r="AD2" t="str">
        <f t="shared" ref="AD2:AD65" si="0">IF(M2="","",COUNTA(_xlfn.TEXTSPLIT(M2,CHAR(10))))</f>
        <v/>
      </c>
      <c r="AE2">
        <f>COUNTIF(AD:AD, "1")+COUNTIF(AD:AD, "2")</f>
        <v>266</v>
      </c>
      <c r="AF2">
        <f>SUM(AD2:AD792)</f>
        <v>717</v>
      </c>
      <c r="AG2">
        <f>COUNTIF(AD:AD, "&gt;=2")</f>
        <v>197</v>
      </c>
    </row>
    <row r="3" spans="1:33" ht="13" customHeight="1" x14ac:dyDescent="0.35">
      <c r="A3" s="7" t="s">
        <v>32</v>
      </c>
      <c r="B3" s="8" t="s">
        <v>33</v>
      </c>
      <c r="C3" s="8"/>
      <c r="E3" s="8" t="s">
        <v>43</v>
      </c>
      <c r="F3" s="9" t="s">
        <v>35</v>
      </c>
      <c r="G3" s="8" t="s">
        <v>36</v>
      </c>
      <c r="H3" s="10" t="s">
        <v>37</v>
      </c>
      <c r="I3" s="8" t="s">
        <v>44</v>
      </c>
      <c r="J3" s="8" t="s">
        <v>45</v>
      </c>
      <c r="K3" s="8" t="s">
        <v>40</v>
      </c>
      <c r="L3" s="10"/>
      <c r="M3" s="10"/>
      <c r="N3" s="10"/>
      <c r="O3" s="11"/>
      <c r="Q3" s="8"/>
      <c r="R3" s="12"/>
      <c r="S3" s="8"/>
      <c r="T3" s="8"/>
      <c r="U3" s="8"/>
      <c r="V3" s="8"/>
      <c r="W3" s="8"/>
      <c r="X3" s="8"/>
      <c r="Y3" s="13">
        <v>45581</v>
      </c>
      <c r="AA3" s="14" t="s">
        <v>46</v>
      </c>
      <c r="AB3" s="15" t="s">
        <v>47</v>
      </c>
      <c r="AD3" t="str">
        <f t="shared" si="0"/>
        <v/>
      </c>
    </row>
    <row r="4" spans="1:33" ht="13" customHeight="1" x14ac:dyDescent="0.35">
      <c r="A4" s="7" t="s">
        <v>32</v>
      </c>
      <c r="B4" s="8" t="s">
        <v>48</v>
      </c>
      <c r="C4" s="8"/>
      <c r="D4" s="8" t="s">
        <v>49</v>
      </c>
      <c r="E4" s="16" t="s">
        <v>50</v>
      </c>
      <c r="F4" s="9" t="s">
        <v>51</v>
      </c>
      <c r="G4" s="8" t="s">
        <v>52</v>
      </c>
      <c r="I4" s="16" t="s">
        <v>53</v>
      </c>
      <c r="J4" s="16" t="s">
        <v>54</v>
      </c>
      <c r="K4" s="8" t="s">
        <v>55</v>
      </c>
      <c r="L4" s="17" t="s">
        <v>56</v>
      </c>
      <c r="M4" s="18"/>
      <c r="N4" s="18"/>
      <c r="O4" s="19" t="s">
        <v>57</v>
      </c>
      <c r="P4" s="16" t="s">
        <v>58</v>
      </c>
      <c r="Q4" s="16" t="s">
        <v>59</v>
      </c>
      <c r="R4" s="20" t="s">
        <v>60</v>
      </c>
      <c r="S4" s="8"/>
      <c r="T4" s="8"/>
      <c r="U4" s="8"/>
      <c r="V4" s="8"/>
      <c r="W4" s="8"/>
      <c r="X4" s="8"/>
      <c r="Y4" s="8"/>
      <c r="AA4" s="14" t="s">
        <v>61</v>
      </c>
      <c r="AD4" t="str">
        <f t="shared" si="0"/>
        <v/>
      </c>
    </row>
    <row r="5" spans="1:33" ht="13" customHeight="1" x14ac:dyDescent="0.35">
      <c r="A5" s="7" t="s">
        <v>32</v>
      </c>
      <c r="B5" s="8" t="s">
        <v>48</v>
      </c>
      <c r="C5" s="8"/>
      <c r="D5" s="8" t="s">
        <v>49</v>
      </c>
      <c r="E5" s="16" t="s">
        <v>62</v>
      </c>
      <c r="F5" s="9" t="s">
        <v>51</v>
      </c>
      <c r="G5" s="8" t="s">
        <v>52</v>
      </c>
      <c r="I5" s="16" t="s">
        <v>63</v>
      </c>
      <c r="J5" s="16" t="s">
        <v>54</v>
      </c>
      <c r="K5" s="8" t="s">
        <v>55</v>
      </c>
      <c r="L5" s="21" t="s">
        <v>64</v>
      </c>
      <c r="M5" s="22"/>
      <c r="N5" s="22"/>
      <c r="O5" s="19" t="s">
        <v>65</v>
      </c>
      <c r="P5" s="23" t="s">
        <v>66</v>
      </c>
      <c r="Q5" s="23" t="s">
        <v>67</v>
      </c>
      <c r="R5" s="23" t="s">
        <v>60</v>
      </c>
      <c r="S5" s="8"/>
      <c r="T5" s="8"/>
      <c r="U5" s="8"/>
      <c r="V5" s="8"/>
      <c r="W5" s="8"/>
      <c r="X5" s="8"/>
      <c r="Y5" s="8"/>
      <c r="AA5" s="14" t="s">
        <v>68</v>
      </c>
      <c r="AD5" t="str">
        <f t="shared" si="0"/>
        <v/>
      </c>
    </row>
    <row r="6" spans="1:33" ht="13" customHeight="1" x14ac:dyDescent="0.35">
      <c r="A6" s="7" t="s">
        <v>69</v>
      </c>
      <c r="B6" s="8" t="s">
        <v>70</v>
      </c>
      <c r="C6" s="8"/>
      <c r="D6" s="8" t="s">
        <v>71</v>
      </c>
      <c r="E6" s="24" t="s">
        <v>72</v>
      </c>
      <c r="F6" s="9" t="s">
        <v>73</v>
      </c>
      <c r="I6" s="25" t="s">
        <v>74</v>
      </c>
      <c r="J6" s="24"/>
      <c r="K6" s="26"/>
      <c r="L6" s="27" t="s">
        <v>75</v>
      </c>
      <c r="M6" s="27" t="s">
        <v>76</v>
      </c>
      <c r="N6" s="27"/>
      <c r="O6" s="11" t="s">
        <v>77</v>
      </c>
      <c r="P6" s="24"/>
      <c r="Q6" s="25"/>
      <c r="R6" s="28" t="s">
        <v>78</v>
      </c>
      <c r="S6" s="25" t="s">
        <v>79</v>
      </c>
      <c r="T6" s="24" t="s">
        <v>80</v>
      </c>
      <c r="U6" s="24" t="s">
        <v>81</v>
      </c>
      <c r="V6" s="24" t="s">
        <v>82</v>
      </c>
      <c r="W6" s="24"/>
      <c r="X6" s="24"/>
      <c r="Y6" s="8"/>
      <c r="AA6" s="14" t="s">
        <v>83</v>
      </c>
      <c r="AD6">
        <f t="shared" si="0"/>
        <v>2</v>
      </c>
    </row>
    <row r="7" spans="1:33" ht="13" customHeight="1" x14ac:dyDescent="0.35">
      <c r="A7" s="7" t="s">
        <v>69</v>
      </c>
      <c r="B7" s="8" t="s">
        <v>48</v>
      </c>
      <c r="C7" s="8"/>
      <c r="D7" s="8" t="s">
        <v>84</v>
      </c>
      <c r="E7" s="29" t="s">
        <v>85</v>
      </c>
      <c r="F7" s="9" t="s">
        <v>73</v>
      </c>
      <c r="I7" s="30" t="s">
        <v>86</v>
      </c>
      <c r="L7" s="31" t="s">
        <v>75</v>
      </c>
      <c r="M7" s="31" t="s">
        <v>76</v>
      </c>
      <c r="N7" s="31"/>
      <c r="O7" s="31" t="s">
        <v>87</v>
      </c>
      <c r="R7" s="32" t="s">
        <v>88</v>
      </c>
      <c r="S7" s="33" t="s">
        <v>89</v>
      </c>
      <c r="T7" s="29" t="s">
        <v>80</v>
      </c>
      <c r="U7" s="29" t="s">
        <v>90</v>
      </c>
      <c r="V7" s="29" t="s">
        <v>91</v>
      </c>
      <c r="W7" s="29" t="s">
        <v>92</v>
      </c>
      <c r="X7" s="29" t="s">
        <v>93</v>
      </c>
      <c r="Y7" s="8"/>
      <c r="AA7" s="14" t="s">
        <v>94</v>
      </c>
      <c r="AD7">
        <f t="shared" si="0"/>
        <v>2</v>
      </c>
    </row>
    <row r="8" spans="1:33" ht="13" customHeight="1" x14ac:dyDescent="0.35">
      <c r="A8" s="7" t="s">
        <v>32</v>
      </c>
      <c r="B8" s="8" t="s">
        <v>33</v>
      </c>
      <c r="C8" s="8"/>
      <c r="E8" s="8" t="s">
        <v>95</v>
      </c>
      <c r="F8" s="9" t="s">
        <v>35</v>
      </c>
      <c r="G8" s="8" t="s">
        <v>96</v>
      </c>
      <c r="H8" s="10" t="s">
        <v>37</v>
      </c>
      <c r="I8" s="8" t="s">
        <v>97</v>
      </c>
      <c r="J8" s="8" t="s">
        <v>98</v>
      </c>
      <c r="K8" s="8" t="s">
        <v>40</v>
      </c>
      <c r="L8" s="10"/>
      <c r="M8" s="10"/>
      <c r="N8" s="10"/>
      <c r="O8" s="11"/>
      <c r="Q8" s="8"/>
      <c r="R8" s="12"/>
      <c r="S8" s="8"/>
      <c r="T8" s="8"/>
      <c r="U8" s="8"/>
      <c r="V8" s="8"/>
      <c r="W8" s="8"/>
      <c r="X8" s="8"/>
      <c r="Y8" s="13">
        <v>45581</v>
      </c>
      <c r="AA8" s="14" t="s">
        <v>99</v>
      </c>
      <c r="AB8" s="15" t="s">
        <v>100</v>
      </c>
      <c r="AD8" t="str">
        <f t="shared" si="0"/>
        <v/>
      </c>
    </row>
    <row r="9" spans="1:33" ht="13" customHeight="1" x14ac:dyDescent="0.35">
      <c r="A9" s="7" t="s">
        <v>32</v>
      </c>
      <c r="B9" s="8" t="s">
        <v>70</v>
      </c>
      <c r="C9" s="8"/>
      <c r="D9" s="8" t="s">
        <v>101</v>
      </c>
      <c r="E9" s="34" t="s">
        <v>102</v>
      </c>
      <c r="F9" s="9" t="s">
        <v>103</v>
      </c>
      <c r="G9" s="34" t="s">
        <v>104</v>
      </c>
      <c r="H9" s="35"/>
      <c r="I9" s="34" t="s">
        <v>105</v>
      </c>
      <c r="J9" s="34" t="s">
        <v>106</v>
      </c>
      <c r="K9" s="34"/>
      <c r="L9" s="35" t="s">
        <v>107</v>
      </c>
      <c r="M9" s="35"/>
      <c r="N9" s="35"/>
      <c r="O9" s="36" t="s">
        <v>108</v>
      </c>
      <c r="P9" s="34" t="s">
        <v>66</v>
      </c>
      <c r="Q9" s="34" t="s">
        <v>109</v>
      </c>
      <c r="R9" s="37" t="s">
        <v>110</v>
      </c>
      <c r="S9" s="8"/>
      <c r="T9" s="8"/>
      <c r="U9" s="8"/>
      <c r="V9" s="8"/>
      <c r="W9" s="8"/>
      <c r="X9" s="8"/>
      <c r="Y9" s="8"/>
      <c r="AA9" s="14" t="s">
        <v>111</v>
      </c>
      <c r="AB9" s="12" t="s">
        <v>112</v>
      </c>
      <c r="AD9" t="str">
        <f t="shared" si="0"/>
        <v/>
      </c>
    </row>
    <row r="10" spans="1:33" ht="13" customHeight="1" x14ac:dyDescent="0.35">
      <c r="A10" s="7" t="s">
        <v>32</v>
      </c>
      <c r="B10" s="8" t="s">
        <v>48</v>
      </c>
      <c r="C10" s="8"/>
      <c r="D10" s="8" t="s">
        <v>49</v>
      </c>
      <c r="E10" s="38" t="s">
        <v>113</v>
      </c>
      <c r="F10" s="9" t="s">
        <v>51</v>
      </c>
      <c r="G10" s="8" t="s">
        <v>52</v>
      </c>
      <c r="I10" s="8" t="s">
        <v>114</v>
      </c>
      <c r="J10" s="16" t="s">
        <v>54</v>
      </c>
      <c r="K10" s="8" t="s">
        <v>55</v>
      </c>
      <c r="L10" s="39" t="s">
        <v>115</v>
      </c>
      <c r="M10" s="40"/>
      <c r="N10" s="40"/>
      <c r="O10" s="41" t="s">
        <v>116</v>
      </c>
      <c r="P10" s="38" t="s">
        <v>58</v>
      </c>
      <c r="Q10" s="42" t="s">
        <v>117</v>
      </c>
      <c r="R10" s="20" t="s">
        <v>118</v>
      </c>
      <c r="S10" s="8"/>
      <c r="T10" s="8"/>
      <c r="U10" s="8"/>
      <c r="V10" s="8"/>
      <c r="W10" s="8"/>
      <c r="X10" s="8"/>
      <c r="Y10" s="8"/>
      <c r="AA10" s="14" t="s">
        <v>119</v>
      </c>
      <c r="AD10" t="str">
        <f t="shared" si="0"/>
        <v/>
      </c>
    </row>
    <row r="11" spans="1:33" ht="13" customHeight="1" x14ac:dyDescent="0.35">
      <c r="A11" s="7" t="s">
        <v>32</v>
      </c>
      <c r="B11" s="8" t="s">
        <v>70</v>
      </c>
      <c r="C11" s="8"/>
      <c r="D11" s="8" t="s">
        <v>120</v>
      </c>
      <c r="E11" s="9" t="s">
        <v>121</v>
      </c>
      <c r="F11" s="9" t="s">
        <v>73</v>
      </c>
      <c r="G11" s="8" t="s">
        <v>52</v>
      </c>
      <c r="I11" s="9" t="s">
        <v>122</v>
      </c>
      <c r="J11" s="9" t="s">
        <v>123</v>
      </c>
      <c r="K11" s="9" t="s">
        <v>55</v>
      </c>
      <c r="L11" s="43" t="s">
        <v>124</v>
      </c>
      <c r="M11" s="44" t="s">
        <v>125</v>
      </c>
      <c r="N11" s="43"/>
      <c r="O11" s="45" t="s">
        <v>126</v>
      </c>
      <c r="P11" s="9" t="s">
        <v>66</v>
      </c>
      <c r="Q11" s="9" t="s">
        <v>127</v>
      </c>
      <c r="R11" s="46" t="s">
        <v>118</v>
      </c>
      <c r="S11" s="8"/>
      <c r="T11" s="8"/>
      <c r="U11" s="8"/>
      <c r="V11" s="8"/>
      <c r="W11" s="8"/>
      <c r="X11" s="8"/>
      <c r="Y11" s="8"/>
      <c r="AA11" s="14" t="s">
        <v>128</v>
      </c>
      <c r="AD11">
        <f t="shared" si="0"/>
        <v>2</v>
      </c>
    </row>
    <row r="12" spans="1:33" ht="13" customHeight="1" x14ac:dyDescent="0.35">
      <c r="A12" s="7" t="s">
        <v>32</v>
      </c>
      <c r="B12" s="8" t="s">
        <v>70</v>
      </c>
      <c r="C12" s="8"/>
      <c r="D12" s="8" t="s">
        <v>120</v>
      </c>
      <c r="E12" s="47" t="s">
        <v>129</v>
      </c>
      <c r="F12" s="9" t="s">
        <v>51</v>
      </c>
      <c r="G12" s="8" t="s">
        <v>130</v>
      </c>
      <c r="I12" s="8" t="s">
        <v>131</v>
      </c>
      <c r="J12" s="9" t="s">
        <v>123</v>
      </c>
      <c r="K12" s="9" t="s">
        <v>132</v>
      </c>
      <c r="L12" s="35"/>
      <c r="M12" s="10"/>
      <c r="N12" s="10"/>
      <c r="O12" s="11" t="s">
        <v>133</v>
      </c>
      <c r="P12" s="16"/>
      <c r="Q12" s="9"/>
      <c r="R12" s="46"/>
      <c r="S12" s="8"/>
      <c r="T12" s="8"/>
      <c r="U12" s="8"/>
      <c r="V12" s="8"/>
      <c r="W12" s="8"/>
      <c r="X12" s="8"/>
      <c r="Y12" s="8"/>
      <c r="AA12" s="14" t="s">
        <v>134</v>
      </c>
      <c r="AD12" t="str">
        <f t="shared" si="0"/>
        <v/>
      </c>
    </row>
    <row r="13" spans="1:33" ht="13" customHeight="1" x14ac:dyDescent="0.35">
      <c r="A13" s="7" t="s">
        <v>32</v>
      </c>
      <c r="B13" s="8" t="s">
        <v>70</v>
      </c>
      <c r="C13" s="8"/>
      <c r="D13" s="8" t="s">
        <v>120</v>
      </c>
      <c r="E13" s="47" t="s">
        <v>135</v>
      </c>
      <c r="F13" s="9" t="s">
        <v>136</v>
      </c>
      <c r="G13" s="8" t="s">
        <v>130</v>
      </c>
      <c r="I13" s="8" t="s">
        <v>137</v>
      </c>
      <c r="J13" s="9" t="s">
        <v>123</v>
      </c>
      <c r="K13" s="9" t="s">
        <v>132</v>
      </c>
      <c r="L13" s="48" t="s">
        <v>138</v>
      </c>
      <c r="M13" s="11" t="s">
        <v>139</v>
      </c>
      <c r="N13" s="11" t="s">
        <v>140</v>
      </c>
      <c r="O13" s="11" t="s">
        <v>141</v>
      </c>
      <c r="P13" s="16" t="s">
        <v>142</v>
      </c>
      <c r="Q13" s="9" t="s">
        <v>67</v>
      </c>
      <c r="R13" s="46" t="s">
        <v>118</v>
      </c>
      <c r="S13" s="8"/>
      <c r="T13" s="8"/>
      <c r="U13" s="8"/>
      <c r="V13" s="8"/>
      <c r="W13" s="8"/>
      <c r="X13" s="8"/>
      <c r="Y13" s="8"/>
      <c r="AA13" s="14" t="s">
        <v>143</v>
      </c>
      <c r="AD13">
        <f t="shared" si="0"/>
        <v>2</v>
      </c>
    </row>
    <row r="14" spans="1:33" ht="13" customHeight="1" x14ac:dyDescent="0.35">
      <c r="A14" s="7" t="s">
        <v>32</v>
      </c>
      <c r="B14" s="8" t="s">
        <v>70</v>
      </c>
      <c r="C14" s="8"/>
      <c r="D14" s="8" t="s">
        <v>120</v>
      </c>
      <c r="E14" s="9" t="s">
        <v>144</v>
      </c>
      <c r="F14" s="9" t="s">
        <v>145</v>
      </c>
      <c r="G14" s="8" t="s">
        <v>52</v>
      </c>
      <c r="I14" s="9" t="s">
        <v>146</v>
      </c>
      <c r="J14" s="9" t="s">
        <v>123</v>
      </c>
      <c r="K14" s="9" t="s">
        <v>55</v>
      </c>
      <c r="L14" s="44" t="s">
        <v>147</v>
      </c>
      <c r="M14" s="44" t="s">
        <v>148</v>
      </c>
      <c r="N14" s="43" t="s">
        <v>149</v>
      </c>
      <c r="O14" s="44" t="s">
        <v>150</v>
      </c>
      <c r="P14" s="9" t="s">
        <v>66</v>
      </c>
      <c r="Q14" s="9" t="s">
        <v>151</v>
      </c>
      <c r="R14" s="46" t="s">
        <v>118</v>
      </c>
      <c r="S14" s="8"/>
      <c r="T14" s="8"/>
      <c r="U14" s="8"/>
      <c r="V14" s="8"/>
      <c r="W14" s="8"/>
      <c r="X14" s="8"/>
      <c r="Y14" s="8"/>
      <c r="AA14" s="14" t="s">
        <v>152</v>
      </c>
      <c r="AB14" s="15" t="s">
        <v>153</v>
      </c>
      <c r="AD14">
        <f t="shared" si="0"/>
        <v>2</v>
      </c>
    </row>
    <row r="15" spans="1:33" ht="13" customHeight="1" x14ac:dyDescent="0.35">
      <c r="A15" s="7" t="s">
        <v>32</v>
      </c>
      <c r="B15" s="8" t="s">
        <v>33</v>
      </c>
      <c r="C15" s="8"/>
      <c r="E15" s="8" t="s">
        <v>154</v>
      </c>
      <c r="F15" s="9" t="s">
        <v>35</v>
      </c>
      <c r="G15" s="8" t="s">
        <v>36</v>
      </c>
      <c r="H15" s="10" t="s">
        <v>37</v>
      </c>
      <c r="I15" s="8" t="s">
        <v>155</v>
      </c>
      <c r="J15" s="8" t="s">
        <v>45</v>
      </c>
      <c r="K15" s="8" t="s">
        <v>40</v>
      </c>
      <c r="L15" s="10"/>
      <c r="M15" s="10"/>
      <c r="N15" s="10"/>
      <c r="O15" s="11"/>
      <c r="Q15" s="8"/>
      <c r="R15" s="12"/>
      <c r="S15" s="8"/>
      <c r="T15" s="8"/>
      <c r="U15" s="8"/>
      <c r="V15" s="8"/>
      <c r="W15" s="8"/>
      <c r="X15" s="8"/>
      <c r="Y15" s="13">
        <v>45581</v>
      </c>
      <c r="AA15" s="14" t="s">
        <v>156</v>
      </c>
      <c r="AB15" s="15" t="s">
        <v>157</v>
      </c>
      <c r="AD15" t="str">
        <f t="shared" si="0"/>
        <v/>
      </c>
    </row>
    <row r="16" spans="1:33" ht="13" customHeight="1" x14ac:dyDescent="0.35">
      <c r="A16" s="7" t="s">
        <v>32</v>
      </c>
      <c r="B16" s="8" t="s">
        <v>33</v>
      </c>
      <c r="C16" s="8"/>
      <c r="E16" s="49" t="s">
        <v>158</v>
      </c>
      <c r="F16" s="9" t="s">
        <v>35</v>
      </c>
      <c r="G16" s="8" t="s">
        <v>36</v>
      </c>
      <c r="H16" s="10" t="s">
        <v>37</v>
      </c>
      <c r="I16" s="38" t="s">
        <v>159</v>
      </c>
      <c r="J16" s="38" t="s">
        <v>39</v>
      </c>
      <c r="K16" s="8" t="s">
        <v>160</v>
      </c>
      <c r="L16" s="41"/>
      <c r="M16" s="41"/>
      <c r="N16" s="41"/>
      <c r="O16" s="50"/>
      <c r="P16" s="38"/>
      <c r="Q16" s="49"/>
      <c r="R16" s="51"/>
      <c r="S16" s="8"/>
      <c r="T16" s="8"/>
      <c r="X16" s="8"/>
      <c r="Y16" s="13">
        <v>45581</v>
      </c>
      <c r="AA16" s="14" t="s">
        <v>161</v>
      </c>
      <c r="AB16" s="15" t="s">
        <v>162</v>
      </c>
      <c r="AD16" t="str">
        <f t="shared" si="0"/>
        <v/>
      </c>
    </row>
    <row r="17" spans="1:30" ht="13" customHeight="1" x14ac:dyDescent="0.35">
      <c r="A17" s="7" t="s">
        <v>32</v>
      </c>
      <c r="B17" s="8" t="s">
        <v>70</v>
      </c>
      <c r="C17" s="8"/>
      <c r="D17" s="8" t="s">
        <v>101</v>
      </c>
      <c r="E17" s="8" t="s">
        <v>163</v>
      </c>
      <c r="F17" s="9" t="s">
        <v>145</v>
      </c>
      <c r="G17" s="8" t="s">
        <v>52</v>
      </c>
      <c r="I17" s="8" t="s">
        <v>164</v>
      </c>
      <c r="J17" s="8" t="s">
        <v>106</v>
      </c>
      <c r="K17" s="8" t="s">
        <v>55</v>
      </c>
      <c r="L17" s="10" t="s">
        <v>165</v>
      </c>
      <c r="M17" s="11" t="s">
        <v>166</v>
      </c>
      <c r="N17" s="10" t="s">
        <v>149</v>
      </c>
      <c r="O17" s="11" t="s">
        <v>167</v>
      </c>
      <c r="P17" s="8" t="s">
        <v>168</v>
      </c>
      <c r="Q17" s="52" t="s">
        <v>169</v>
      </c>
      <c r="R17" s="12" t="s">
        <v>110</v>
      </c>
      <c r="S17" s="8"/>
      <c r="T17" s="8"/>
      <c r="U17" s="8"/>
      <c r="V17" s="8"/>
      <c r="W17" s="8"/>
      <c r="X17" s="8"/>
      <c r="Y17" s="8"/>
      <c r="AA17" s="14" t="s">
        <v>170</v>
      </c>
      <c r="AB17" s="12" t="s">
        <v>171</v>
      </c>
      <c r="AD17">
        <f t="shared" si="0"/>
        <v>2</v>
      </c>
    </row>
    <row r="18" spans="1:30" ht="13" customHeight="1" x14ac:dyDescent="0.35">
      <c r="A18" s="7" t="s">
        <v>32</v>
      </c>
      <c r="B18" s="8" t="s">
        <v>48</v>
      </c>
      <c r="C18" s="8"/>
      <c r="D18" s="8" t="s">
        <v>172</v>
      </c>
      <c r="E18" s="8" t="s">
        <v>173</v>
      </c>
      <c r="F18" s="9" t="s">
        <v>35</v>
      </c>
      <c r="G18" s="8" t="s">
        <v>174</v>
      </c>
      <c r="I18" s="52" t="s">
        <v>175</v>
      </c>
      <c r="J18" s="8" t="s">
        <v>176</v>
      </c>
      <c r="K18" s="8" t="s">
        <v>132</v>
      </c>
      <c r="L18" s="10"/>
      <c r="M18" s="10"/>
      <c r="N18" s="10"/>
      <c r="O18" s="11"/>
      <c r="Q18" s="8"/>
      <c r="R18" s="12"/>
      <c r="S18" s="8"/>
      <c r="T18" s="8"/>
      <c r="U18" s="8"/>
      <c r="V18" s="8"/>
      <c r="W18" s="8"/>
      <c r="X18" s="8"/>
      <c r="Y18" s="8"/>
      <c r="AA18" s="14" t="s">
        <v>177</v>
      </c>
      <c r="AD18" t="str">
        <f t="shared" si="0"/>
        <v/>
      </c>
    </row>
    <row r="19" spans="1:30" ht="13" customHeight="1" x14ac:dyDescent="0.35">
      <c r="A19" s="7" t="s">
        <v>32</v>
      </c>
      <c r="B19" s="8" t="s">
        <v>70</v>
      </c>
      <c r="C19" s="8"/>
      <c r="D19" s="8" t="s">
        <v>101</v>
      </c>
      <c r="E19" s="8" t="s">
        <v>178</v>
      </c>
      <c r="F19" s="9" t="s">
        <v>136</v>
      </c>
      <c r="G19" s="8" t="s">
        <v>52</v>
      </c>
      <c r="I19" s="8" t="s">
        <v>179</v>
      </c>
      <c r="J19" s="8" t="s">
        <v>106</v>
      </c>
      <c r="K19" s="8" t="s">
        <v>55</v>
      </c>
      <c r="L19" s="53" t="s">
        <v>180</v>
      </c>
      <c r="M19" s="10" t="s">
        <v>181</v>
      </c>
      <c r="N19" s="10" t="s">
        <v>182</v>
      </c>
      <c r="O19" s="11" t="s">
        <v>183</v>
      </c>
      <c r="P19" s="8" t="s">
        <v>66</v>
      </c>
      <c r="Q19" s="8" t="s">
        <v>109</v>
      </c>
      <c r="R19" s="12" t="s">
        <v>110</v>
      </c>
      <c r="S19" s="8"/>
      <c r="T19" s="8"/>
      <c r="U19" s="8"/>
      <c r="V19" s="8"/>
      <c r="W19" s="8"/>
      <c r="X19" s="8"/>
      <c r="Y19" s="8"/>
      <c r="AA19" s="14" t="s">
        <v>184</v>
      </c>
      <c r="AB19" s="12" t="s">
        <v>185</v>
      </c>
      <c r="AD19">
        <f t="shared" si="0"/>
        <v>1</v>
      </c>
    </row>
    <row r="20" spans="1:30" ht="13" customHeight="1" x14ac:dyDescent="0.35">
      <c r="A20" s="7" t="s">
        <v>32</v>
      </c>
      <c r="B20" s="8" t="s">
        <v>48</v>
      </c>
      <c r="C20" s="8"/>
      <c r="D20" s="8" t="s">
        <v>49</v>
      </c>
      <c r="E20" s="54" t="s">
        <v>186</v>
      </c>
      <c r="F20" s="9" t="s">
        <v>136</v>
      </c>
      <c r="G20" s="8" t="s">
        <v>52</v>
      </c>
      <c r="I20" s="47" t="s">
        <v>187</v>
      </c>
      <c r="J20" s="16" t="s">
        <v>54</v>
      </c>
      <c r="K20" s="8" t="s">
        <v>55</v>
      </c>
      <c r="L20" s="17" t="s">
        <v>188</v>
      </c>
      <c r="M20" s="18" t="s">
        <v>181</v>
      </c>
      <c r="N20" s="18" t="s">
        <v>182</v>
      </c>
      <c r="O20" s="55" t="s">
        <v>189</v>
      </c>
      <c r="P20" s="16" t="s">
        <v>58</v>
      </c>
      <c r="Q20" s="38" t="s">
        <v>190</v>
      </c>
      <c r="R20" s="20" t="s">
        <v>118</v>
      </c>
      <c r="S20" s="8"/>
      <c r="T20" s="8"/>
      <c r="U20" s="8"/>
      <c r="V20" s="8"/>
      <c r="W20" s="8"/>
      <c r="X20" s="8"/>
      <c r="Y20" s="8"/>
      <c r="AA20" s="14" t="s">
        <v>191</v>
      </c>
      <c r="AB20" s="12" t="s">
        <v>185</v>
      </c>
      <c r="AD20">
        <f t="shared" si="0"/>
        <v>1</v>
      </c>
    </row>
    <row r="21" spans="1:30" ht="13" customHeight="1" x14ac:dyDescent="0.35">
      <c r="A21" s="7" t="s">
        <v>32</v>
      </c>
      <c r="B21" s="8" t="s">
        <v>33</v>
      </c>
      <c r="C21" s="8"/>
      <c r="E21" s="8" t="s">
        <v>192</v>
      </c>
      <c r="F21" s="8" t="s">
        <v>35</v>
      </c>
      <c r="G21" s="8" t="s">
        <v>36</v>
      </c>
      <c r="H21" s="10" t="s">
        <v>193</v>
      </c>
      <c r="I21" s="8" t="s">
        <v>194</v>
      </c>
      <c r="J21" s="8" t="s">
        <v>195</v>
      </c>
      <c r="K21" s="8" t="s">
        <v>40</v>
      </c>
      <c r="L21" s="56" t="s">
        <v>196</v>
      </c>
      <c r="M21" s="57" t="s">
        <v>197</v>
      </c>
      <c r="N21" s="10"/>
      <c r="O21" s="11" t="s">
        <v>198</v>
      </c>
      <c r="Q21" s="8"/>
      <c r="R21" s="12"/>
      <c r="S21" s="8"/>
      <c r="T21" s="8"/>
      <c r="U21" s="8"/>
      <c r="V21" s="8"/>
      <c r="W21" s="8"/>
      <c r="X21" s="8"/>
      <c r="Y21" s="13">
        <v>45581</v>
      </c>
      <c r="AA21" s="14" t="s">
        <v>199</v>
      </c>
      <c r="AB21" s="15" t="s">
        <v>200</v>
      </c>
      <c r="AD21">
        <f t="shared" si="0"/>
        <v>3</v>
      </c>
    </row>
    <row r="22" spans="1:30" ht="13" customHeight="1" x14ac:dyDescent="0.35">
      <c r="A22" s="7" t="s">
        <v>32</v>
      </c>
      <c r="B22" s="8" t="s">
        <v>33</v>
      </c>
      <c r="C22" s="8"/>
      <c r="E22" s="8" t="s">
        <v>201</v>
      </c>
      <c r="F22" s="8" t="s">
        <v>35</v>
      </c>
      <c r="G22" s="8" t="s">
        <v>36</v>
      </c>
      <c r="H22" s="10" t="s">
        <v>193</v>
      </c>
      <c r="I22" s="8" t="s">
        <v>202</v>
      </c>
      <c r="J22" s="8" t="s">
        <v>195</v>
      </c>
      <c r="K22" s="8" t="s">
        <v>40</v>
      </c>
      <c r="L22" s="56" t="s">
        <v>196</v>
      </c>
      <c r="M22" s="57" t="s">
        <v>197</v>
      </c>
      <c r="N22" s="10"/>
      <c r="O22" s="11" t="s">
        <v>198</v>
      </c>
      <c r="Q22" s="8"/>
      <c r="R22" s="12"/>
      <c r="S22" s="8"/>
      <c r="T22" s="8"/>
      <c r="U22" s="8"/>
      <c r="V22" s="8"/>
      <c r="W22" s="8"/>
      <c r="X22" s="8"/>
      <c r="Y22" s="13">
        <v>45581</v>
      </c>
      <c r="AA22" s="14" t="s">
        <v>203</v>
      </c>
      <c r="AB22" s="15" t="s">
        <v>204</v>
      </c>
      <c r="AD22">
        <f t="shared" si="0"/>
        <v>3</v>
      </c>
    </row>
    <row r="23" spans="1:30" ht="13" customHeight="1" x14ac:dyDescent="0.35">
      <c r="A23" s="7" t="s">
        <v>32</v>
      </c>
      <c r="B23" s="8" t="s">
        <v>33</v>
      </c>
      <c r="C23" s="8"/>
      <c r="E23" s="8" t="s">
        <v>205</v>
      </c>
      <c r="F23" s="9" t="s">
        <v>35</v>
      </c>
      <c r="G23" s="8" t="s">
        <v>36</v>
      </c>
      <c r="H23" s="10" t="s">
        <v>37</v>
      </c>
      <c r="I23" s="8" t="s">
        <v>206</v>
      </c>
      <c r="J23" s="8" t="s">
        <v>45</v>
      </c>
      <c r="K23" s="8" t="s">
        <v>40</v>
      </c>
      <c r="L23" s="10"/>
      <c r="M23" s="10"/>
      <c r="N23" s="10"/>
      <c r="O23" s="11"/>
      <c r="Q23" s="8"/>
      <c r="R23" s="12"/>
      <c r="S23" s="8"/>
      <c r="T23" s="8"/>
      <c r="U23" s="8"/>
      <c r="V23" s="8"/>
      <c r="W23" s="8"/>
      <c r="X23" s="8"/>
      <c r="Y23" s="13">
        <v>45581</v>
      </c>
      <c r="AA23" s="14" t="s">
        <v>207</v>
      </c>
      <c r="AB23" s="15" t="s">
        <v>208</v>
      </c>
      <c r="AD23" t="str">
        <f t="shared" si="0"/>
        <v/>
      </c>
    </row>
    <row r="24" spans="1:30" ht="13" customHeight="1" x14ac:dyDescent="0.35">
      <c r="A24" s="7" t="s">
        <v>32</v>
      </c>
      <c r="B24" s="8" t="s">
        <v>70</v>
      </c>
      <c r="C24" s="8"/>
      <c r="D24" s="8" t="s">
        <v>120</v>
      </c>
      <c r="E24" s="9" t="s">
        <v>209</v>
      </c>
      <c r="F24" s="9" t="s">
        <v>73</v>
      </c>
      <c r="G24" s="8" t="s">
        <v>130</v>
      </c>
      <c r="I24" s="9" t="s">
        <v>210</v>
      </c>
      <c r="J24" s="9" t="s">
        <v>123</v>
      </c>
      <c r="K24" s="9" t="s">
        <v>55</v>
      </c>
      <c r="L24" s="43" t="s">
        <v>211</v>
      </c>
      <c r="M24" s="44" t="s">
        <v>212</v>
      </c>
      <c r="N24" s="43"/>
      <c r="O24" s="44" t="s">
        <v>213</v>
      </c>
      <c r="P24" s="9" t="s">
        <v>58</v>
      </c>
      <c r="Q24" s="9" t="s">
        <v>214</v>
      </c>
      <c r="R24" s="46" t="s">
        <v>118</v>
      </c>
      <c r="S24" s="8"/>
      <c r="T24" s="8"/>
      <c r="U24" s="8"/>
      <c r="V24" s="8"/>
      <c r="W24" s="8"/>
      <c r="X24" s="8"/>
      <c r="Y24" s="8"/>
      <c r="AA24" s="14" t="s">
        <v>215</v>
      </c>
      <c r="AD24">
        <f t="shared" si="0"/>
        <v>2</v>
      </c>
    </row>
    <row r="25" spans="1:30" ht="13" customHeight="1" x14ac:dyDescent="0.35">
      <c r="A25" s="7" t="s">
        <v>32</v>
      </c>
      <c r="B25" s="8" t="s">
        <v>48</v>
      </c>
      <c r="C25" s="8"/>
      <c r="D25" s="8" t="s">
        <v>172</v>
      </c>
      <c r="E25" s="8" t="s">
        <v>216</v>
      </c>
      <c r="F25" s="9" t="s">
        <v>51</v>
      </c>
      <c r="G25" s="8" t="s">
        <v>174</v>
      </c>
      <c r="I25" s="52" t="s">
        <v>217</v>
      </c>
      <c r="J25" s="8" t="s">
        <v>176</v>
      </c>
      <c r="K25" s="8" t="s">
        <v>55</v>
      </c>
      <c r="L25" s="36" t="s">
        <v>218</v>
      </c>
      <c r="M25" s="10"/>
      <c r="N25" s="10"/>
      <c r="O25" s="11" t="s">
        <v>219</v>
      </c>
      <c r="P25" s="8" t="s">
        <v>66</v>
      </c>
      <c r="Q25" s="8" t="s">
        <v>220</v>
      </c>
      <c r="R25" s="12" t="s">
        <v>118</v>
      </c>
      <c r="S25" s="8"/>
      <c r="T25" s="8"/>
      <c r="U25" s="8"/>
      <c r="V25" s="8"/>
      <c r="W25" s="8"/>
      <c r="X25" s="8"/>
      <c r="Y25" s="8"/>
      <c r="AA25" s="14" t="s">
        <v>221</v>
      </c>
      <c r="AD25" t="str">
        <f t="shared" si="0"/>
        <v/>
      </c>
    </row>
    <row r="26" spans="1:30" ht="13" customHeight="1" x14ac:dyDescent="0.35">
      <c r="A26" s="7" t="s">
        <v>32</v>
      </c>
      <c r="B26" s="8" t="s">
        <v>33</v>
      </c>
      <c r="C26" s="8"/>
      <c r="E26" s="8" t="s">
        <v>222</v>
      </c>
      <c r="F26" s="8" t="s">
        <v>35</v>
      </c>
      <c r="G26" s="8" t="s">
        <v>36</v>
      </c>
      <c r="H26" s="10" t="s">
        <v>223</v>
      </c>
      <c r="I26" s="8" t="s">
        <v>224</v>
      </c>
      <c r="J26" s="8" t="s">
        <v>195</v>
      </c>
      <c r="K26" s="8" t="s">
        <v>40</v>
      </c>
      <c r="L26" s="58" t="s">
        <v>225</v>
      </c>
      <c r="M26" s="59" t="s">
        <v>226</v>
      </c>
      <c r="O26" s="11" t="s">
        <v>227</v>
      </c>
      <c r="Q26" s="8"/>
      <c r="R26" s="12"/>
      <c r="S26" s="8"/>
      <c r="T26" s="8"/>
      <c r="U26" s="8"/>
      <c r="V26" s="8"/>
      <c r="W26" s="8"/>
      <c r="X26" s="8"/>
      <c r="Y26" s="13">
        <v>45558</v>
      </c>
      <c r="Z26" s="8" t="s">
        <v>228</v>
      </c>
      <c r="AA26" s="14" t="s">
        <v>229</v>
      </c>
      <c r="AB26" s="15" t="s">
        <v>230</v>
      </c>
      <c r="AD26">
        <f t="shared" si="0"/>
        <v>1</v>
      </c>
    </row>
    <row r="27" spans="1:30" ht="13" customHeight="1" x14ac:dyDescent="0.35">
      <c r="A27" s="7" t="s">
        <v>32</v>
      </c>
      <c r="B27" s="8" t="s">
        <v>48</v>
      </c>
      <c r="C27" s="8"/>
      <c r="D27" s="8" t="s">
        <v>172</v>
      </c>
      <c r="E27" s="8" t="s">
        <v>231</v>
      </c>
      <c r="F27" s="9" t="s">
        <v>35</v>
      </c>
      <c r="G27" s="8" t="s">
        <v>174</v>
      </c>
      <c r="I27" s="8" t="s">
        <v>232</v>
      </c>
      <c r="J27" s="8" t="s">
        <v>176</v>
      </c>
      <c r="K27" s="8" t="s">
        <v>55</v>
      </c>
      <c r="O27" s="61"/>
      <c r="Q27" s="8"/>
      <c r="R27" s="12"/>
      <c r="S27" s="8"/>
      <c r="T27" s="8"/>
      <c r="U27" s="8"/>
      <c r="V27" s="8"/>
      <c r="W27" s="8"/>
      <c r="X27" s="8"/>
      <c r="Y27" s="8"/>
      <c r="AA27" s="14" t="s">
        <v>233</v>
      </c>
      <c r="AD27" t="str">
        <f t="shared" si="0"/>
        <v/>
      </c>
    </row>
    <row r="28" spans="1:30" ht="13" customHeight="1" x14ac:dyDescent="0.35">
      <c r="A28" s="7" t="s">
        <v>32</v>
      </c>
      <c r="B28" s="8" t="s">
        <v>70</v>
      </c>
      <c r="C28" s="8"/>
      <c r="D28" s="8" t="s">
        <v>120</v>
      </c>
      <c r="E28" s="9" t="s">
        <v>234</v>
      </c>
      <c r="F28" s="9" t="s">
        <v>235</v>
      </c>
      <c r="G28" s="8" t="s">
        <v>130</v>
      </c>
      <c r="I28" s="9" t="s">
        <v>236</v>
      </c>
      <c r="J28" s="9" t="s">
        <v>123</v>
      </c>
      <c r="K28" s="9" t="s">
        <v>55</v>
      </c>
      <c r="L28" s="53" t="s">
        <v>237</v>
      </c>
      <c r="M28" s="43" t="s">
        <v>238</v>
      </c>
      <c r="N28" s="43"/>
      <c r="O28" s="44" t="s">
        <v>239</v>
      </c>
      <c r="P28" s="9" t="s">
        <v>66</v>
      </c>
      <c r="Q28" s="9" t="s">
        <v>67</v>
      </c>
      <c r="R28" s="46" t="s">
        <v>118</v>
      </c>
      <c r="S28" s="8"/>
      <c r="T28" s="8"/>
      <c r="U28" s="8"/>
      <c r="V28" s="8"/>
      <c r="W28" s="8"/>
      <c r="X28" s="8"/>
      <c r="Y28" s="8"/>
      <c r="AA28" s="14" t="s">
        <v>240</v>
      </c>
      <c r="AD28">
        <f t="shared" si="0"/>
        <v>1</v>
      </c>
    </row>
    <row r="29" spans="1:30" ht="13" customHeight="1" x14ac:dyDescent="0.35">
      <c r="A29" s="7" t="s">
        <v>32</v>
      </c>
      <c r="B29" s="8" t="s">
        <v>48</v>
      </c>
      <c r="C29" s="8"/>
      <c r="D29" s="8" t="s">
        <v>172</v>
      </c>
      <c r="E29" s="8" t="s">
        <v>241</v>
      </c>
      <c r="F29" s="9" t="s">
        <v>35</v>
      </c>
      <c r="G29" s="8" t="s">
        <v>174</v>
      </c>
      <c r="I29" s="52" t="s">
        <v>242</v>
      </c>
      <c r="J29" s="8" t="s">
        <v>176</v>
      </c>
      <c r="K29" s="8" t="s">
        <v>132</v>
      </c>
      <c r="L29" s="43"/>
      <c r="M29" s="43"/>
      <c r="N29" s="43"/>
      <c r="O29" s="44"/>
      <c r="P29" s="9"/>
      <c r="Q29" s="9"/>
      <c r="R29" s="46"/>
      <c r="S29" s="8"/>
      <c r="T29" s="8"/>
      <c r="U29" s="8"/>
      <c r="V29" s="8"/>
      <c r="W29" s="8"/>
      <c r="X29" s="8"/>
      <c r="Y29" s="8"/>
      <c r="AA29" s="14" t="s">
        <v>243</v>
      </c>
      <c r="AD29" t="str">
        <f t="shared" si="0"/>
        <v/>
      </c>
    </row>
    <row r="30" spans="1:30" ht="13" customHeight="1" x14ac:dyDescent="0.35">
      <c r="A30" s="7" t="s">
        <v>32</v>
      </c>
      <c r="B30" s="8" t="s">
        <v>33</v>
      </c>
      <c r="C30" s="8"/>
      <c r="E30" s="8" t="s">
        <v>244</v>
      </c>
      <c r="F30" s="9" t="s">
        <v>35</v>
      </c>
      <c r="G30" s="8" t="s">
        <v>36</v>
      </c>
      <c r="H30" s="10" t="s">
        <v>193</v>
      </c>
      <c r="I30" s="8" t="s">
        <v>245</v>
      </c>
      <c r="J30" s="8" t="s">
        <v>45</v>
      </c>
      <c r="K30" s="8" t="s">
        <v>40</v>
      </c>
      <c r="L30" s="62" t="s">
        <v>246</v>
      </c>
      <c r="M30" s="10"/>
      <c r="N30" s="10"/>
      <c r="O30" s="11"/>
      <c r="Q30" s="8"/>
      <c r="R30" s="12"/>
      <c r="S30" s="8"/>
      <c r="T30" s="8"/>
      <c r="U30" s="8"/>
      <c r="V30" s="8"/>
      <c r="W30" s="8"/>
      <c r="X30" s="8"/>
      <c r="Y30" s="13">
        <v>45581</v>
      </c>
      <c r="Z30" s="8" t="s">
        <v>228</v>
      </c>
      <c r="AA30" s="14" t="s">
        <v>247</v>
      </c>
      <c r="AB30" s="15" t="s">
        <v>248</v>
      </c>
      <c r="AD30" t="str">
        <f t="shared" si="0"/>
        <v/>
      </c>
    </row>
    <row r="31" spans="1:30" ht="13" customHeight="1" x14ac:dyDescent="0.35">
      <c r="A31" s="7" t="s">
        <v>32</v>
      </c>
      <c r="B31" s="8" t="s">
        <v>33</v>
      </c>
      <c r="C31" s="8"/>
      <c r="E31" s="8" t="s">
        <v>249</v>
      </c>
      <c r="F31" s="9" t="s">
        <v>35</v>
      </c>
      <c r="G31" s="8" t="s">
        <v>36</v>
      </c>
      <c r="H31" s="10" t="s">
        <v>37</v>
      </c>
      <c r="I31" s="8" t="s">
        <v>250</v>
      </c>
      <c r="J31" s="8" t="s">
        <v>45</v>
      </c>
      <c r="K31" s="8" t="s">
        <v>40</v>
      </c>
      <c r="L31" s="10"/>
      <c r="M31" s="10"/>
      <c r="N31" s="10"/>
      <c r="O31" s="11"/>
      <c r="Q31" s="8"/>
      <c r="R31" s="12"/>
      <c r="S31" s="8"/>
      <c r="T31" s="8"/>
      <c r="U31" s="8"/>
      <c r="V31" s="8"/>
      <c r="W31" s="8"/>
      <c r="X31" s="8"/>
      <c r="Y31" s="13">
        <v>45581</v>
      </c>
      <c r="AA31" s="14" t="s">
        <v>251</v>
      </c>
      <c r="AB31" s="15" t="s">
        <v>252</v>
      </c>
      <c r="AD31" t="str">
        <f t="shared" si="0"/>
        <v/>
      </c>
    </row>
    <row r="32" spans="1:30" ht="13" customHeight="1" x14ac:dyDescent="0.35">
      <c r="A32" s="7" t="s">
        <v>32</v>
      </c>
      <c r="B32" s="8" t="s">
        <v>33</v>
      </c>
      <c r="C32" s="8"/>
      <c r="E32" s="8" t="s">
        <v>253</v>
      </c>
      <c r="F32" s="8" t="s">
        <v>35</v>
      </c>
      <c r="G32" s="8" t="s">
        <v>36</v>
      </c>
      <c r="H32" s="10" t="s">
        <v>193</v>
      </c>
      <c r="I32" s="8" t="s">
        <v>254</v>
      </c>
      <c r="J32" s="8" t="s">
        <v>195</v>
      </c>
      <c r="K32" s="8" t="s">
        <v>40</v>
      </c>
      <c r="L32" s="58" t="s">
        <v>255</v>
      </c>
      <c r="M32" s="63" t="s">
        <v>256</v>
      </c>
      <c r="N32" s="61" t="s">
        <v>257</v>
      </c>
      <c r="O32" s="11" t="s">
        <v>258</v>
      </c>
      <c r="Q32" s="8"/>
      <c r="R32" s="12"/>
      <c r="S32" s="8"/>
      <c r="T32" s="8"/>
      <c r="U32" s="8"/>
      <c r="V32" s="8"/>
      <c r="W32" s="8"/>
      <c r="X32" s="8"/>
      <c r="Y32" s="13">
        <v>45581</v>
      </c>
      <c r="AA32" s="14" t="s">
        <v>259</v>
      </c>
      <c r="AB32" s="15" t="s">
        <v>260</v>
      </c>
      <c r="AD32">
        <f t="shared" si="0"/>
        <v>2</v>
      </c>
    </row>
    <row r="33" spans="1:30" ht="13" customHeight="1" x14ac:dyDescent="0.35">
      <c r="A33" s="7" t="s">
        <v>32</v>
      </c>
      <c r="B33" s="8" t="s">
        <v>33</v>
      </c>
      <c r="C33" s="8"/>
      <c r="E33" s="8" t="s">
        <v>261</v>
      </c>
      <c r="F33" s="9" t="s">
        <v>35</v>
      </c>
      <c r="G33" s="8" t="s">
        <v>36</v>
      </c>
      <c r="H33" s="10" t="s">
        <v>37</v>
      </c>
      <c r="I33" s="8" t="s">
        <v>262</v>
      </c>
      <c r="J33" s="8" t="s">
        <v>263</v>
      </c>
      <c r="K33" s="8" t="s">
        <v>40</v>
      </c>
      <c r="O33" s="11"/>
      <c r="Q33" s="8"/>
      <c r="R33" s="12"/>
      <c r="S33" s="8"/>
      <c r="T33" s="8"/>
      <c r="U33" s="8"/>
      <c r="V33" s="8"/>
      <c r="W33" s="8"/>
      <c r="X33" s="8"/>
      <c r="Y33" s="13">
        <v>45581</v>
      </c>
      <c r="AA33" s="14" t="s">
        <v>264</v>
      </c>
      <c r="AB33" s="15" t="s">
        <v>265</v>
      </c>
      <c r="AD33" t="str">
        <f t="shared" si="0"/>
        <v/>
      </c>
    </row>
    <row r="34" spans="1:30" ht="13" customHeight="1" x14ac:dyDescent="0.35">
      <c r="A34" s="7" t="s">
        <v>32</v>
      </c>
      <c r="B34" s="8" t="s">
        <v>33</v>
      </c>
      <c r="C34" s="8"/>
      <c r="E34" s="8" t="s">
        <v>266</v>
      </c>
      <c r="F34" s="9" t="s">
        <v>35</v>
      </c>
      <c r="G34" s="8" t="s">
        <v>36</v>
      </c>
      <c r="H34" s="10" t="s">
        <v>193</v>
      </c>
      <c r="I34" s="8" t="s">
        <v>267</v>
      </c>
      <c r="J34" s="8" t="s">
        <v>45</v>
      </c>
      <c r="K34" s="8" t="s">
        <v>40</v>
      </c>
      <c r="M34" s="60" t="s">
        <v>268</v>
      </c>
      <c r="O34" s="11" t="s">
        <v>269</v>
      </c>
      <c r="Q34" s="8"/>
      <c r="R34" s="12"/>
      <c r="S34" s="8"/>
      <c r="T34" s="8"/>
      <c r="U34" s="8"/>
      <c r="V34" s="8"/>
      <c r="W34" s="8"/>
      <c r="X34" s="8"/>
      <c r="Y34" s="13">
        <v>45581</v>
      </c>
      <c r="Z34" s="8" t="s">
        <v>228</v>
      </c>
      <c r="AA34" s="14" t="s">
        <v>270</v>
      </c>
      <c r="AB34" s="15" t="s">
        <v>271</v>
      </c>
      <c r="AD34">
        <f t="shared" si="0"/>
        <v>1</v>
      </c>
    </row>
    <row r="35" spans="1:30" ht="13" customHeight="1" x14ac:dyDescent="0.35">
      <c r="A35" s="7" t="s">
        <v>32</v>
      </c>
      <c r="B35" s="8" t="s">
        <v>33</v>
      </c>
      <c r="C35" s="8"/>
      <c r="E35" s="29" t="s">
        <v>272</v>
      </c>
      <c r="F35" s="9" t="s">
        <v>35</v>
      </c>
      <c r="G35" s="8" t="s">
        <v>36</v>
      </c>
      <c r="H35" s="10" t="s">
        <v>37</v>
      </c>
      <c r="I35" s="8" t="s">
        <v>273</v>
      </c>
      <c r="J35" s="8" t="s">
        <v>45</v>
      </c>
      <c r="K35" s="8" t="s">
        <v>40</v>
      </c>
      <c r="L35" s="61"/>
      <c r="M35" s="61"/>
      <c r="N35" s="61"/>
      <c r="R35" s="32"/>
      <c r="S35" s="8"/>
      <c r="T35" s="8"/>
      <c r="W35" s="29" t="s">
        <v>274</v>
      </c>
      <c r="X35" s="8"/>
      <c r="Y35" s="13">
        <v>45581</v>
      </c>
      <c r="Z35" s="8" t="s">
        <v>228</v>
      </c>
      <c r="AA35" s="14" t="s">
        <v>275</v>
      </c>
      <c r="AB35" s="15" t="s">
        <v>276</v>
      </c>
      <c r="AD35" t="str">
        <f t="shared" si="0"/>
        <v/>
      </c>
    </row>
    <row r="36" spans="1:30" ht="13" customHeight="1" x14ac:dyDescent="0.35">
      <c r="A36" s="7" t="s">
        <v>32</v>
      </c>
      <c r="B36" s="8" t="s">
        <v>33</v>
      </c>
      <c r="C36" s="8"/>
      <c r="E36" s="29" t="s">
        <v>277</v>
      </c>
      <c r="F36" s="9" t="s">
        <v>35</v>
      </c>
      <c r="G36" s="8" t="s">
        <v>36</v>
      </c>
      <c r="H36" s="10" t="s">
        <v>193</v>
      </c>
      <c r="I36" s="8" t="s">
        <v>278</v>
      </c>
      <c r="J36" s="8" t="s">
        <v>45</v>
      </c>
      <c r="K36" s="8" t="s">
        <v>40</v>
      </c>
      <c r="L36" s="11" t="s">
        <v>279</v>
      </c>
      <c r="M36" s="11" t="s">
        <v>280</v>
      </c>
      <c r="N36" s="10" t="s">
        <v>281</v>
      </c>
      <c r="R36" s="32"/>
      <c r="S36" s="8"/>
      <c r="T36" s="8"/>
      <c r="W36" s="29" t="s">
        <v>274</v>
      </c>
      <c r="X36" s="8"/>
      <c r="Y36" s="13">
        <v>45587</v>
      </c>
      <c r="Z36" s="8" t="s">
        <v>228</v>
      </c>
      <c r="AA36" s="14" t="s">
        <v>282</v>
      </c>
      <c r="AB36" s="15" t="s">
        <v>283</v>
      </c>
      <c r="AD36">
        <f t="shared" si="0"/>
        <v>2</v>
      </c>
    </row>
    <row r="37" spans="1:30" ht="13" customHeight="1" x14ac:dyDescent="0.35">
      <c r="A37" s="7" t="s">
        <v>32</v>
      </c>
      <c r="B37" s="8" t="s">
        <v>70</v>
      </c>
      <c r="C37" s="8"/>
      <c r="D37" s="8" t="s">
        <v>101</v>
      </c>
      <c r="E37" s="34" t="s">
        <v>284</v>
      </c>
      <c r="F37" s="9" t="s">
        <v>51</v>
      </c>
      <c r="G37" s="34" t="s">
        <v>285</v>
      </c>
      <c r="H37" s="35"/>
      <c r="I37" s="34" t="s">
        <v>286</v>
      </c>
      <c r="J37" s="34" t="s">
        <v>106</v>
      </c>
      <c r="K37" s="34"/>
      <c r="L37" s="35" t="s">
        <v>287</v>
      </c>
      <c r="M37" s="35"/>
      <c r="N37" s="35"/>
      <c r="O37" s="36" t="s">
        <v>288</v>
      </c>
      <c r="P37" s="34" t="s">
        <v>66</v>
      </c>
      <c r="Q37" s="34" t="s">
        <v>109</v>
      </c>
      <c r="R37" s="37" t="s">
        <v>110</v>
      </c>
      <c r="S37" s="8"/>
      <c r="T37" s="8"/>
      <c r="U37" s="8"/>
      <c r="V37" s="8"/>
      <c r="W37" s="8"/>
      <c r="X37" s="8"/>
      <c r="Y37" s="8"/>
      <c r="AA37" s="14" t="s">
        <v>289</v>
      </c>
      <c r="AD37" t="str">
        <f t="shared" si="0"/>
        <v/>
      </c>
    </row>
    <row r="38" spans="1:30" ht="13" customHeight="1" x14ac:dyDescent="0.35">
      <c r="A38" s="7" t="s">
        <v>32</v>
      </c>
      <c r="B38" s="8" t="s">
        <v>70</v>
      </c>
      <c r="C38" s="8"/>
      <c r="D38" s="8" t="s">
        <v>101</v>
      </c>
      <c r="E38" s="34" t="s">
        <v>290</v>
      </c>
      <c r="F38" s="9" t="s">
        <v>103</v>
      </c>
      <c r="G38" s="34" t="s">
        <v>291</v>
      </c>
      <c r="H38" s="35"/>
      <c r="I38" s="34" t="s">
        <v>292</v>
      </c>
      <c r="J38" s="34" t="s">
        <v>106</v>
      </c>
      <c r="K38" s="34"/>
      <c r="L38" s="64" t="s">
        <v>293</v>
      </c>
      <c r="M38" s="65"/>
      <c r="N38" s="65"/>
      <c r="O38" s="36" t="s">
        <v>288</v>
      </c>
      <c r="P38" s="34" t="s">
        <v>66</v>
      </c>
      <c r="Q38" s="34" t="s">
        <v>294</v>
      </c>
      <c r="R38" s="37" t="s">
        <v>110</v>
      </c>
      <c r="S38" s="8"/>
      <c r="T38" s="8"/>
      <c r="U38" s="8"/>
      <c r="V38" s="8"/>
      <c r="W38" s="8"/>
      <c r="X38" s="8"/>
      <c r="Y38" s="8"/>
      <c r="AA38" s="14" t="s">
        <v>295</v>
      </c>
      <c r="AB38" s="15" t="s">
        <v>296</v>
      </c>
      <c r="AD38" t="str">
        <f t="shared" si="0"/>
        <v/>
      </c>
    </row>
    <row r="39" spans="1:30" ht="13" customHeight="1" x14ac:dyDescent="0.35">
      <c r="A39" s="7" t="s">
        <v>32</v>
      </c>
      <c r="B39" s="8" t="s">
        <v>70</v>
      </c>
      <c r="C39" s="8"/>
      <c r="D39" s="8" t="s">
        <v>101</v>
      </c>
      <c r="E39" s="34" t="s">
        <v>297</v>
      </c>
      <c r="F39" s="9" t="s">
        <v>103</v>
      </c>
      <c r="G39" s="34" t="s">
        <v>298</v>
      </c>
      <c r="H39" s="35"/>
      <c r="I39" s="34" t="s">
        <v>299</v>
      </c>
      <c r="J39" s="34" t="s">
        <v>106</v>
      </c>
      <c r="K39" s="34"/>
      <c r="L39" s="64" t="s">
        <v>300</v>
      </c>
      <c r="M39" s="64"/>
      <c r="N39" s="64"/>
      <c r="O39" s="36" t="s">
        <v>301</v>
      </c>
      <c r="P39" s="34" t="s">
        <v>66</v>
      </c>
      <c r="Q39" s="34" t="s">
        <v>109</v>
      </c>
      <c r="R39" s="37" t="s">
        <v>110</v>
      </c>
      <c r="S39" s="8"/>
      <c r="T39" s="8"/>
      <c r="U39" s="8"/>
      <c r="V39" s="8"/>
      <c r="W39" s="8"/>
      <c r="X39" s="8"/>
      <c r="Y39" s="8"/>
      <c r="AA39" s="14" t="s">
        <v>302</v>
      </c>
      <c r="AB39" s="15" t="s">
        <v>296</v>
      </c>
      <c r="AD39" t="str">
        <f t="shared" si="0"/>
        <v/>
      </c>
    </row>
    <row r="40" spans="1:30" ht="13" customHeight="1" x14ac:dyDescent="0.35">
      <c r="A40" s="7" t="s">
        <v>32</v>
      </c>
      <c r="B40" s="8" t="s">
        <v>33</v>
      </c>
      <c r="C40" s="8"/>
      <c r="E40" s="29" t="s">
        <v>303</v>
      </c>
      <c r="F40" s="9" t="s">
        <v>35</v>
      </c>
      <c r="G40" s="8" t="s">
        <v>36</v>
      </c>
      <c r="H40" s="10" t="s">
        <v>37</v>
      </c>
      <c r="I40" s="8" t="s">
        <v>304</v>
      </c>
      <c r="J40" s="8" t="s">
        <v>45</v>
      </c>
      <c r="K40" s="8" t="s">
        <v>40</v>
      </c>
      <c r="L40" s="61"/>
      <c r="M40" s="61"/>
      <c r="N40" s="61"/>
      <c r="R40" s="32"/>
      <c r="S40" s="8"/>
      <c r="T40" s="8"/>
      <c r="W40" s="29" t="s">
        <v>274</v>
      </c>
      <c r="X40" s="8"/>
      <c r="Y40" s="13">
        <v>45581</v>
      </c>
      <c r="Z40" s="8" t="s">
        <v>228</v>
      </c>
      <c r="AA40" s="14" t="s">
        <v>305</v>
      </c>
      <c r="AB40" s="15" t="s">
        <v>306</v>
      </c>
      <c r="AD40" t="str">
        <f t="shared" si="0"/>
        <v/>
      </c>
    </row>
    <row r="41" spans="1:30" ht="13" customHeight="1" x14ac:dyDescent="0.35">
      <c r="A41" s="7" t="s">
        <v>32</v>
      </c>
      <c r="B41" s="8" t="s">
        <v>33</v>
      </c>
      <c r="C41" s="8"/>
      <c r="E41" s="29" t="s">
        <v>307</v>
      </c>
      <c r="F41" s="9" t="s">
        <v>35</v>
      </c>
      <c r="G41" s="8" t="s">
        <v>36</v>
      </c>
      <c r="H41" s="10" t="s">
        <v>37</v>
      </c>
      <c r="I41" s="8" t="s">
        <v>308</v>
      </c>
      <c r="J41" s="8" t="s">
        <v>309</v>
      </c>
      <c r="K41" s="8" t="s">
        <v>160</v>
      </c>
      <c r="L41" s="61"/>
      <c r="M41" s="61"/>
      <c r="N41" s="61"/>
      <c r="R41" s="32"/>
      <c r="S41" s="8"/>
      <c r="T41" s="8"/>
      <c r="W41" s="29" t="s">
        <v>274</v>
      </c>
      <c r="X41" s="8"/>
      <c r="Y41" s="13">
        <v>45581</v>
      </c>
      <c r="AA41" s="14" t="s">
        <v>310</v>
      </c>
      <c r="AB41" s="15" t="s">
        <v>311</v>
      </c>
      <c r="AD41" t="str">
        <f t="shared" si="0"/>
        <v/>
      </c>
    </row>
    <row r="42" spans="1:30" ht="13" customHeight="1" x14ac:dyDescent="0.35">
      <c r="A42" s="7" t="s">
        <v>32</v>
      </c>
      <c r="B42" s="8" t="s">
        <v>70</v>
      </c>
      <c r="C42" s="8"/>
      <c r="D42" s="8" t="s">
        <v>120</v>
      </c>
      <c r="E42" s="34" t="s">
        <v>312</v>
      </c>
      <c r="F42" s="9" t="s">
        <v>103</v>
      </c>
      <c r="G42" s="34" t="s">
        <v>313</v>
      </c>
      <c r="H42" s="35"/>
      <c r="I42" s="34" t="s">
        <v>314</v>
      </c>
      <c r="J42" s="34" t="s">
        <v>123</v>
      </c>
      <c r="K42" s="34"/>
      <c r="L42" s="65" t="s">
        <v>315</v>
      </c>
      <c r="M42" s="65"/>
      <c r="N42" s="65"/>
      <c r="O42" s="36"/>
      <c r="P42" s="34" t="s">
        <v>66</v>
      </c>
      <c r="Q42" s="34" t="s">
        <v>316</v>
      </c>
      <c r="R42" s="37" t="s">
        <v>118</v>
      </c>
      <c r="S42" s="8"/>
      <c r="T42" s="8"/>
      <c r="U42" s="8"/>
      <c r="V42" s="8"/>
      <c r="W42" s="8"/>
      <c r="X42" s="8"/>
      <c r="Y42" s="8"/>
      <c r="AA42" s="14" t="s">
        <v>317</v>
      </c>
      <c r="AB42" s="12" t="s">
        <v>318</v>
      </c>
      <c r="AD42" t="str">
        <f t="shared" si="0"/>
        <v/>
      </c>
    </row>
    <row r="43" spans="1:30" ht="13" customHeight="1" x14ac:dyDescent="0.35">
      <c r="A43" s="7" t="s">
        <v>32</v>
      </c>
      <c r="B43" s="8" t="s">
        <v>33</v>
      </c>
      <c r="C43" s="8"/>
      <c r="E43" s="29" t="s">
        <v>319</v>
      </c>
      <c r="F43" s="9" t="s">
        <v>35</v>
      </c>
      <c r="G43" s="8" t="s">
        <v>36</v>
      </c>
      <c r="H43" s="10" t="s">
        <v>193</v>
      </c>
      <c r="I43" s="8" t="s">
        <v>320</v>
      </c>
      <c r="J43" s="8" t="s">
        <v>45</v>
      </c>
      <c r="K43" s="8" t="s">
        <v>40</v>
      </c>
      <c r="L43" s="11" t="s">
        <v>321</v>
      </c>
      <c r="M43" s="11" t="s">
        <v>322</v>
      </c>
      <c r="N43" s="11" t="s">
        <v>323</v>
      </c>
      <c r="R43" s="32"/>
      <c r="S43" s="8"/>
      <c r="T43" s="8"/>
      <c r="W43" s="29" t="s">
        <v>274</v>
      </c>
      <c r="X43" s="8"/>
      <c r="Y43" s="13">
        <v>45581</v>
      </c>
      <c r="Z43" s="8" t="s">
        <v>228</v>
      </c>
      <c r="AA43" s="14" t="s">
        <v>324</v>
      </c>
      <c r="AB43" s="15" t="s">
        <v>325</v>
      </c>
      <c r="AD43">
        <f t="shared" si="0"/>
        <v>2</v>
      </c>
    </row>
    <row r="44" spans="1:30" ht="13" customHeight="1" x14ac:dyDescent="0.35">
      <c r="A44" s="7" t="s">
        <v>32</v>
      </c>
      <c r="B44" s="8" t="s">
        <v>70</v>
      </c>
      <c r="C44" s="8"/>
      <c r="D44" s="8" t="s">
        <v>120</v>
      </c>
      <c r="E44" s="34" t="s">
        <v>326</v>
      </c>
      <c r="F44" s="9" t="s">
        <v>103</v>
      </c>
      <c r="G44" s="34" t="s">
        <v>327</v>
      </c>
      <c r="H44" s="35"/>
      <c r="I44" s="34" t="s">
        <v>97</v>
      </c>
      <c r="J44" s="34" t="s">
        <v>123</v>
      </c>
      <c r="K44" s="34"/>
      <c r="L44" s="35" t="s">
        <v>328</v>
      </c>
      <c r="M44" s="35"/>
      <c r="N44" s="35"/>
      <c r="O44" s="36" t="s">
        <v>329</v>
      </c>
      <c r="P44" s="34" t="s">
        <v>66</v>
      </c>
      <c r="Q44" s="34" t="s">
        <v>330</v>
      </c>
      <c r="R44" s="37" t="s">
        <v>118</v>
      </c>
      <c r="S44" s="8"/>
      <c r="T44" s="8"/>
      <c r="U44" s="8"/>
      <c r="V44" s="8"/>
      <c r="W44" s="8"/>
      <c r="X44" s="8"/>
      <c r="Y44" s="8"/>
      <c r="AA44" s="14" t="s">
        <v>331</v>
      </c>
      <c r="AB44" s="12" t="s">
        <v>112</v>
      </c>
      <c r="AD44" t="str">
        <f t="shared" si="0"/>
        <v/>
      </c>
    </row>
    <row r="45" spans="1:30" ht="13" customHeight="1" x14ac:dyDescent="0.35">
      <c r="A45" s="7" t="s">
        <v>32</v>
      </c>
      <c r="B45" s="8" t="s">
        <v>70</v>
      </c>
      <c r="C45" s="8"/>
      <c r="D45" s="8" t="s">
        <v>120</v>
      </c>
      <c r="E45" s="9" t="s">
        <v>332</v>
      </c>
      <c r="F45" s="9" t="s">
        <v>35</v>
      </c>
      <c r="G45" s="8" t="s">
        <v>52</v>
      </c>
      <c r="I45" s="8" t="s">
        <v>333</v>
      </c>
      <c r="J45" s="9" t="s">
        <v>123</v>
      </c>
      <c r="K45" s="9" t="s">
        <v>132</v>
      </c>
      <c r="L45" s="10"/>
      <c r="M45" s="10"/>
      <c r="N45" s="10"/>
      <c r="O45" s="11"/>
      <c r="P45" s="9"/>
      <c r="Q45" s="9"/>
      <c r="R45" s="46"/>
      <c r="S45" s="8"/>
      <c r="T45" s="8"/>
      <c r="U45" s="8"/>
      <c r="V45" s="8"/>
      <c r="W45" s="8"/>
      <c r="X45" s="8"/>
      <c r="Y45" s="8"/>
      <c r="AA45" s="14" t="s">
        <v>334</v>
      </c>
      <c r="AD45" t="str">
        <f t="shared" si="0"/>
        <v/>
      </c>
    </row>
    <row r="46" spans="1:30" ht="13" customHeight="1" x14ac:dyDescent="0.35">
      <c r="A46" s="7" t="s">
        <v>32</v>
      </c>
      <c r="B46" s="8" t="s">
        <v>33</v>
      </c>
      <c r="C46" s="8"/>
      <c r="E46" s="8" t="s">
        <v>335</v>
      </c>
      <c r="F46" s="8" t="s">
        <v>35</v>
      </c>
      <c r="G46" s="8" t="s">
        <v>336</v>
      </c>
      <c r="H46" s="10" t="s">
        <v>193</v>
      </c>
      <c r="I46" s="8" t="s">
        <v>337</v>
      </c>
      <c r="K46" s="8" t="s">
        <v>40</v>
      </c>
      <c r="L46" s="56" t="s">
        <v>338</v>
      </c>
      <c r="M46" s="57" t="s">
        <v>339</v>
      </c>
      <c r="N46" s="10"/>
      <c r="O46" s="11" t="s">
        <v>340</v>
      </c>
      <c r="Q46" s="8"/>
      <c r="R46" s="12"/>
      <c r="S46" s="8"/>
      <c r="T46" s="8"/>
      <c r="U46" s="8"/>
      <c r="V46" s="8"/>
      <c r="W46" s="8"/>
      <c r="X46" s="8"/>
      <c r="Y46" s="13">
        <v>45581</v>
      </c>
      <c r="Z46" s="8" t="s">
        <v>228</v>
      </c>
      <c r="AA46" s="14" t="s">
        <v>341</v>
      </c>
      <c r="AB46" s="15" t="s">
        <v>342</v>
      </c>
      <c r="AD46">
        <f t="shared" si="0"/>
        <v>3</v>
      </c>
    </row>
    <row r="47" spans="1:30" ht="13" customHeight="1" x14ac:dyDescent="0.35">
      <c r="A47" s="7" t="s">
        <v>32</v>
      </c>
      <c r="B47" s="8" t="s">
        <v>33</v>
      </c>
      <c r="C47" s="8"/>
      <c r="E47" s="8" t="s">
        <v>343</v>
      </c>
      <c r="F47" s="8" t="s">
        <v>35</v>
      </c>
      <c r="G47" s="8" t="s">
        <v>36</v>
      </c>
      <c r="H47" s="10" t="s">
        <v>193</v>
      </c>
      <c r="I47" s="8" t="s">
        <v>344</v>
      </c>
      <c r="J47" s="8" t="s">
        <v>345</v>
      </c>
      <c r="L47" s="56" t="s">
        <v>338</v>
      </c>
      <c r="M47" s="57" t="s">
        <v>339</v>
      </c>
      <c r="N47" s="10"/>
      <c r="O47" s="11" t="s">
        <v>340</v>
      </c>
      <c r="Q47" s="8"/>
      <c r="R47" s="12"/>
      <c r="S47" s="8"/>
      <c r="T47" s="8"/>
      <c r="U47" s="8"/>
      <c r="V47" s="8"/>
      <c r="W47" s="8"/>
      <c r="X47" s="8"/>
      <c r="Y47" s="13">
        <v>45581</v>
      </c>
      <c r="Z47" s="8" t="s">
        <v>228</v>
      </c>
      <c r="AA47" s="14" t="s">
        <v>346</v>
      </c>
      <c r="AB47" s="15" t="s">
        <v>347</v>
      </c>
      <c r="AD47">
        <f t="shared" si="0"/>
        <v>3</v>
      </c>
    </row>
    <row r="48" spans="1:30" ht="13" customHeight="1" x14ac:dyDescent="0.35">
      <c r="A48" s="7" t="s">
        <v>32</v>
      </c>
      <c r="B48" s="8" t="s">
        <v>48</v>
      </c>
      <c r="C48" s="8"/>
      <c r="D48" s="8" t="s">
        <v>49</v>
      </c>
      <c r="E48" s="38" t="s">
        <v>348</v>
      </c>
      <c r="F48" s="9" t="s">
        <v>235</v>
      </c>
      <c r="G48" s="8" t="s">
        <v>52</v>
      </c>
      <c r="I48" s="16" t="s">
        <v>349</v>
      </c>
      <c r="J48" s="16" t="s">
        <v>54</v>
      </c>
      <c r="K48" s="8" t="s">
        <v>55</v>
      </c>
      <c r="L48" s="66" t="s">
        <v>350</v>
      </c>
      <c r="M48" s="40" t="s">
        <v>351</v>
      </c>
      <c r="N48" s="40"/>
      <c r="O48" s="19" t="s">
        <v>352</v>
      </c>
      <c r="P48" s="38" t="s">
        <v>66</v>
      </c>
      <c r="Q48" s="38" t="s">
        <v>190</v>
      </c>
      <c r="R48" s="67" t="s">
        <v>118</v>
      </c>
      <c r="S48" s="8"/>
      <c r="T48" s="8"/>
      <c r="U48" s="8"/>
      <c r="V48" s="8"/>
      <c r="W48" s="8"/>
      <c r="X48" s="8"/>
      <c r="Y48" s="8"/>
      <c r="AA48" s="14" t="s">
        <v>353</v>
      </c>
      <c r="AD48">
        <f t="shared" si="0"/>
        <v>1</v>
      </c>
    </row>
    <row r="49" spans="1:30" ht="13" customHeight="1" x14ac:dyDescent="0.35">
      <c r="A49" s="7" t="s">
        <v>32</v>
      </c>
      <c r="B49" s="8" t="s">
        <v>33</v>
      </c>
      <c r="C49" s="8"/>
      <c r="E49" s="8" t="s">
        <v>354</v>
      </c>
      <c r="F49" s="9" t="s">
        <v>35</v>
      </c>
      <c r="G49" s="8" t="s">
        <v>36</v>
      </c>
      <c r="H49" s="10" t="s">
        <v>37</v>
      </c>
      <c r="I49" s="8" t="s">
        <v>355</v>
      </c>
      <c r="J49" s="8" t="s">
        <v>45</v>
      </c>
      <c r="K49" s="8" t="s">
        <v>40</v>
      </c>
      <c r="L49" s="10"/>
      <c r="M49" s="10"/>
      <c r="N49" s="10"/>
      <c r="O49" s="11"/>
      <c r="Q49" s="8"/>
      <c r="R49" s="12"/>
      <c r="S49" s="8"/>
      <c r="T49" s="8"/>
      <c r="U49" s="8"/>
      <c r="V49" s="8"/>
      <c r="W49" s="8"/>
      <c r="X49" s="8"/>
      <c r="Y49" s="13">
        <v>45581</v>
      </c>
      <c r="AA49" s="14" t="s">
        <v>356</v>
      </c>
      <c r="AB49" s="15" t="s">
        <v>357</v>
      </c>
      <c r="AD49" t="str">
        <f t="shared" si="0"/>
        <v/>
      </c>
    </row>
    <row r="50" spans="1:30" ht="13" customHeight="1" x14ac:dyDescent="0.35">
      <c r="A50" s="7" t="s">
        <v>32</v>
      </c>
      <c r="B50" s="8" t="s">
        <v>33</v>
      </c>
      <c r="C50" s="8"/>
      <c r="E50" s="8" t="s">
        <v>354</v>
      </c>
      <c r="F50" s="9" t="s">
        <v>35</v>
      </c>
      <c r="G50" s="8" t="s">
        <v>36</v>
      </c>
      <c r="H50" s="10" t="s">
        <v>37</v>
      </c>
      <c r="I50" s="8" t="s">
        <v>358</v>
      </c>
      <c r="J50" s="8" t="s">
        <v>45</v>
      </c>
      <c r="K50" s="8" t="s">
        <v>40</v>
      </c>
      <c r="L50" s="10"/>
      <c r="M50" s="10"/>
      <c r="N50" s="10"/>
      <c r="O50" s="11"/>
      <c r="Q50" s="8"/>
      <c r="R50" s="12"/>
      <c r="S50" s="8"/>
      <c r="T50" s="8"/>
      <c r="U50" s="8"/>
      <c r="V50" s="8"/>
      <c r="W50" s="8"/>
      <c r="X50" s="8"/>
      <c r="Y50" s="13">
        <v>45581</v>
      </c>
      <c r="AA50" s="14" t="s">
        <v>359</v>
      </c>
      <c r="AB50" s="15" t="s">
        <v>360</v>
      </c>
      <c r="AD50" t="str">
        <f t="shared" si="0"/>
        <v/>
      </c>
    </row>
    <row r="51" spans="1:30" ht="13" customHeight="1" x14ac:dyDescent="0.35">
      <c r="A51" s="7" t="s">
        <v>32</v>
      </c>
      <c r="B51" s="8" t="s">
        <v>33</v>
      </c>
      <c r="C51" s="8"/>
      <c r="E51" s="8" t="s">
        <v>361</v>
      </c>
      <c r="F51" s="9" t="s">
        <v>35</v>
      </c>
      <c r="G51" s="8" t="s">
        <v>36</v>
      </c>
      <c r="H51" s="10" t="s">
        <v>37</v>
      </c>
      <c r="I51" s="8" t="s">
        <v>362</v>
      </c>
      <c r="J51" s="8" t="s">
        <v>45</v>
      </c>
      <c r="K51" s="8" t="s">
        <v>40</v>
      </c>
      <c r="L51" s="10"/>
      <c r="M51" s="10"/>
      <c r="N51" s="10"/>
      <c r="O51" s="11"/>
      <c r="Q51" s="8"/>
      <c r="R51" s="12"/>
      <c r="S51" s="8"/>
      <c r="T51" s="8"/>
      <c r="U51" s="8"/>
      <c r="V51" s="8"/>
      <c r="W51" s="8"/>
      <c r="X51" s="8"/>
      <c r="Y51" s="13">
        <v>45581</v>
      </c>
      <c r="AA51" s="14" t="s">
        <v>363</v>
      </c>
      <c r="AB51" s="15" t="s">
        <v>364</v>
      </c>
      <c r="AD51" t="str">
        <f t="shared" si="0"/>
        <v/>
      </c>
    </row>
    <row r="52" spans="1:30" ht="13" customHeight="1" x14ac:dyDescent="0.35">
      <c r="A52" s="7" t="s">
        <v>32</v>
      </c>
      <c r="B52" s="8" t="s">
        <v>33</v>
      </c>
      <c r="C52" s="8"/>
      <c r="E52" s="8" t="s">
        <v>365</v>
      </c>
      <c r="F52" s="9" t="s">
        <v>35</v>
      </c>
      <c r="G52" s="8" t="s">
        <v>36</v>
      </c>
      <c r="H52" s="10" t="s">
        <v>37</v>
      </c>
      <c r="I52" s="8" t="s">
        <v>366</v>
      </c>
      <c r="J52" s="8" t="s">
        <v>45</v>
      </c>
      <c r="K52" s="8" t="s">
        <v>40</v>
      </c>
      <c r="L52" s="10"/>
      <c r="M52" s="10"/>
      <c r="N52" s="10"/>
      <c r="O52" s="11"/>
      <c r="Q52" s="8"/>
      <c r="R52" s="12"/>
      <c r="S52" s="8"/>
      <c r="T52" s="8"/>
      <c r="U52" s="8"/>
      <c r="V52" s="8"/>
      <c r="W52" s="8"/>
      <c r="X52" s="8"/>
      <c r="Y52" s="13">
        <v>45581</v>
      </c>
      <c r="AA52" s="14" t="s">
        <v>367</v>
      </c>
      <c r="AB52" s="15" t="s">
        <v>368</v>
      </c>
      <c r="AD52" t="str">
        <f t="shared" si="0"/>
        <v/>
      </c>
    </row>
    <row r="53" spans="1:30" ht="13" customHeight="1" x14ac:dyDescent="0.35">
      <c r="A53" s="7" t="s">
        <v>32</v>
      </c>
      <c r="B53" s="8" t="s">
        <v>33</v>
      </c>
      <c r="C53" s="8"/>
      <c r="E53" s="8" t="s">
        <v>369</v>
      </c>
      <c r="F53" s="9" t="s">
        <v>35</v>
      </c>
      <c r="G53" s="8" t="s">
        <v>36</v>
      </c>
      <c r="H53" s="10" t="s">
        <v>37</v>
      </c>
      <c r="I53" s="8" t="s">
        <v>370</v>
      </c>
      <c r="J53" s="8" t="s">
        <v>45</v>
      </c>
      <c r="K53" s="8" t="s">
        <v>40</v>
      </c>
      <c r="L53" s="10"/>
      <c r="M53" s="10"/>
      <c r="N53" s="10"/>
      <c r="O53" s="11"/>
      <c r="Q53" s="8"/>
      <c r="R53" s="12"/>
      <c r="S53" s="8"/>
      <c r="T53" s="8"/>
      <c r="U53" s="8"/>
      <c r="V53" s="8"/>
      <c r="W53" s="8"/>
      <c r="X53" s="8"/>
      <c r="Y53" s="13">
        <v>45581</v>
      </c>
      <c r="AA53" s="14" t="s">
        <v>371</v>
      </c>
      <c r="AB53" s="15" t="s">
        <v>372</v>
      </c>
      <c r="AD53" t="str">
        <f t="shared" si="0"/>
        <v/>
      </c>
    </row>
    <row r="54" spans="1:30" ht="13" customHeight="1" x14ac:dyDescent="0.35">
      <c r="A54" s="7" t="s">
        <v>32</v>
      </c>
      <c r="B54" s="8" t="s">
        <v>33</v>
      </c>
      <c r="C54" s="8"/>
      <c r="E54" s="8" t="s">
        <v>373</v>
      </c>
      <c r="F54" s="9" t="s">
        <v>35</v>
      </c>
      <c r="G54" s="8" t="s">
        <v>36</v>
      </c>
      <c r="H54" s="10" t="s">
        <v>37</v>
      </c>
      <c r="I54" s="8" t="s">
        <v>374</v>
      </c>
      <c r="J54" s="8" t="s">
        <v>45</v>
      </c>
      <c r="K54" s="8" t="s">
        <v>40</v>
      </c>
      <c r="L54" s="10"/>
      <c r="M54" s="10"/>
      <c r="N54" s="10"/>
      <c r="O54" s="11"/>
      <c r="Q54" s="8"/>
      <c r="R54" s="12"/>
      <c r="S54" s="8"/>
      <c r="T54" s="8"/>
      <c r="U54" s="8"/>
      <c r="V54" s="8"/>
      <c r="W54" s="8"/>
      <c r="X54" s="8"/>
      <c r="Y54" s="13">
        <v>45581</v>
      </c>
      <c r="AA54" s="14" t="s">
        <v>375</v>
      </c>
      <c r="AB54" s="15" t="s">
        <v>376</v>
      </c>
      <c r="AD54" t="str">
        <f t="shared" si="0"/>
        <v/>
      </c>
    </row>
    <row r="55" spans="1:30" ht="13" customHeight="1" x14ac:dyDescent="0.35">
      <c r="A55" s="7" t="s">
        <v>32</v>
      </c>
      <c r="B55" s="8" t="s">
        <v>33</v>
      </c>
      <c r="C55" s="8"/>
      <c r="E55" s="8" t="s">
        <v>377</v>
      </c>
      <c r="F55" s="9" t="s">
        <v>35</v>
      </c>
      <c r="G55" s="8" t="s">
        <v>36</v>
      </c>
      <c r="H55" s="10" t="s">
        <v>37</v>
      </c>
      <c r="I55" s="8" t="s">
        <v>378</v>
      </c>
      <c r="J55" s="8" t="s">
        <v>45</v>
      </c>
      <c r="K55" s="8" t="s">
        <v>40</v>
      </c>
      <c r="L55" s="10"/>
      <c r="M55" s="10"/>
      <c r="N55" s="10"/>
      <c r="O55" s="11"/>
      <c r="Q55" s="8"/>
      <c r="R55" s="12"/>
      <c r="S55" s="8"/>
      <c r="T55" s="8"/>
      <c r="U55" s="8"/>
      <c r="V55" s="8"/>
      <c r="W55" s="8"/>
      <c r="X55" s="8"/>
      <c r="Y55" s="13">
        <v>45581</v>
      </c>
      <c r="AA55" s="14" t="s">
        <v>379</v>
      </c>
      <c r="AB55" s="15" t="s">
        <v>380</v>
      </c>
      <c r="AD55" t="str">
        <f t="shared" si="0"/>
        <v/>
      </c>
    </row>
    <row r="56" spans="1:30" ht="13" customHeight="1" x14ac:dyDescent="0.35">
      <c r="A56" s="7" t="s">
        <v>32</v>
      </c>
      <c r="B56" s="8" t="s">
        <v>33</v>
      </c>
      <c r="C56" s="8"/>
      <c r="E56" s="8" t="s">
        <v>381</v>
      </c>
      <c r="F56" s="9" t="s">
        <v>35</v>
      </c>
      <c r="G56" s="8" t="s">
        <v>36</v>
      </c>
      <c r="H56" s="10" t="s">
        <v>37</v>
      </c>
      <c r="I56" s="8" t="s">
        <v>382</v>
      </c>
      <c r="J56" s="8" t="s">
        <v>45</v>
      </c>
      <c r="K56" t="s">
        <v>40</v>
      </c>
      <c r="L56" s="10"/>
      <c r="M56" s="10"/>
      <c r="N56" s="10"/>
      <c r="O56" s="11"/>
      <c r="Q56" s="8"/>
      <c r="R56" s="12"/>
      <c r="S56" s="8"/>
      <c r="T56" s="8"/>
      <c r="U56" s="8"/>
      <c r="V56" s="8"/>
      <c r="W56" s="8"/>
      <c r="X56" s="8"/>
      <c r="Y56" s="13">
        <v>45581</v>
      </c>
      <c r="AA56" s="14" t="s">
        <v>383</v>
      </c>
      <c r="AB56" s="15" t="s">
        <v>384</v>
      </c>
      <c r="AD56" t="str">
        <f t="shared" si="0"/>
        <v/>
      </c>
    </row>
    <row r="57" spans="1:30" ht="13" customHeight="1" x14ac:dyDescent="0.35">
      <c r="A57" s="7" t="s">
        <v>32</v>
      </c>
      <c r="B57" s="8" t="s">
        <v>33</v>
      </c>
      <c r="C57" s="8"/>
      <c r="E57" s="8" t="s">
        <v>385</v>
      </c>
      <c r="F57" s="9" t="s">
        <v>35</v>
      </c>
      <c r="G57" s="8" t="s">
        <v>36</v>
      </c>
      <c r="H57" s="10" t="s">
        <v>37</v>
      </c>
      <c r="I57" s="8" t="s">
        <v>386</v>
      </c>
      <c r="J57" s="8" t="s">
        <v>45</v>
      </c>
      <c r="K57" s="8" t="s">
        <v>40</v>
      </c>
      <c r="L57" s="10"/>
      <c r="M57" s="10"/>
      <c r="N57" s="10"/>
      <c r="O57" s="11"/>
      <c r="Q57" s="8"/>
      <c r="R57"/>
      <c r="S57" s="8"/>
      <c r="T57" s="8"/>
      <c r="U57" s="8"/>
      <c r="V57" s="8"/>
      <c r="W57" s="8"/>
      <c r="X57" s="8"/>
      <c r="Y57" s="13">
        <v>45581</v>
      </c>
      <c r="AA57" s="14" t="s">
        <v>387</v>
      </c>
      <c r="AB57" s="15" t="s">
        <v>388</v>
      </c>
      <c r="AD57" t="str">
        <f t="shared" si="0"/>
        <v/>
      </c>
    </row>
    <row r="58" spans="1:30" ht="13" customHeight="1" x14ac:dyDescent="0.35">
      <c r="A58" s="7" t="s">
        <v>32</v>
      </c>
      <c r="B58" s="8" t="s">
        <v>70</v>
      </c>
      <c r="C58" s="8"/>
      <c r="D58" s="8" t="s">
        <v>120</v>
      </c>
      <c r="E58" s="9" t="s">
        <v>389</v>
      </c>
      <c r="F58" s="9" t="s">
        <v>51</v>
      </c>
      <c r="G58" s="8" t="s">
        <v>130</v>
      </c>
      <c r="I58" s="9" t="s">
        <v>390</v>
      </c>
      <c r="J58" s="9" t="s">
        <v>123</v>
      </c>
      <c r="K58" s="9" t="s">
        <v>55</v>
      </c>
      <c r="L58" s="35" t="s">
        <v>391</v>
      </c>
      <c r="M58" s="43"/>
      <c r="N58" s="43"/>
      <c r="O58" s="44" t="s">
        <v>392</v>
      </c>
      <c r="P58" s="9" t="s">
        <v>142</v>
      </c>
      <c r="Q58" s="9" t="s">
        <v>393</v>
      </c>
      <c r="R58" s="46" t="s">
        <v>118</v>
      </c>
      <c r="S58" s="8"/>
      <c r="T58" s="8"/>
      <c r="U58" s="8"/>
      <c r="V58" s="8"/>
      <c r="W58" s="8"/>
      <c r="X58" s="8"/>
      <c r="Y58" s="8"/>
      <c r="AA58" s="14" t="s">
        <v>394</v>
      </c>
      <c r="AD58" t="str">
        <f t="shared" si="0"/>
        <v/>
      </c>
    </row>
    <row r="59" spans="1:30" ht="13" customHeight="1" x14ac:dyDescent="0.35">
      <c r="A59" s="7" t="s">
        <v>32</v>
      </c>
      <c r="B59" s="8" t="s">
        <v>70</v>
      </c>
      <c r="C59" s="8"/>
      <c r="D59" s="8" t="s">
        <v>120</v>
      </c>
      <c r="E59" s="38" t="s">
        <v>395</v>
      </c>
      <c r="F59" s="9" t="s">
        <v>103</v>
      </c>
      <c r="G59" s="8" t="s">
        <v>52</v>
      </c>
      <c r="I59" s="16" t="s">
        <v>396</v>
      </c>
      <c r="J59" s="9" t="s">
        <v>123</v>
      </c>
      <c r="K59" s="9" t="s">
        <v>132</v>
      </c>
      <c r="L59" s="40" t="s">
        <v>397</v>
      </c>
      <c r="M59" s="40" t="s">
        <v>398</v>
      </c>
      <c r="N59" s="41" t="s">
        <v>399</v>
      </c>
      <c r="O59" s="41" t="s">
        <v>400</v>
      </c>
      <c r="P59" s="16" t="s">
        <v>142</v>
      </c>
      <c r="Q59" s="38" t="s">
        <v>401</v>
      </c>
      <c r="R59" s="67" t="s">
        <v>60</v>
      </c>
      <c r="S59" s="8"/>
      <c r="T59" s="8"/>
      <c r="U59" s="8"/>
      <c r="V59" s="8"/>
      <c r="W59" s="8"/>
      <c r="X59" s="8"/>
      <c r="Y59" s="8"/>
      <c r="AA59" s="14" t="s">
        <v>402</v>
      </c>
      <c r="AB59" s="12" t="s">
        <v>403</v>
      </c>
      <c r="AD59">
        <f t="shared" si="0"/>
        <v>1</v>
      </c>
    </row>
    <row r="60" spans="1:30" ht="13" customHeight="1" x14ac:dyDescent="0.35">
      <c r="A60" s="7" t="s">
        <v>32</v>
      </c>
      <c r="B60" s="8" t="s">
        <v>48</v>
      </c>
      <c r="C60" s="8"/>
      <c r="D60" s="8" t="s">
        <v>49</v>
      </c>
      <c r="E60" s="38" t="s">
        <v>395</v>
      </c>
      <c r="F60" s="9" t="s">
        <v>103</v>
      </c>
      <c r="G60" s="8" t="s">
        <v>174</v>
      </c>
      <c r="I60" s="38" t="s">
        <v>404</v>
      </c>
      <c r="J60" s="16" t="s">
        <v>54</v>
      </c>
      <c r="K60" s="8" t="s">
        <v>55</v>
      </c>
      <c r="L60" s="40" t="s">
        <v>397</v>
      </c>
      <c r="M60" s="40" t="s">
        <v>398</v>
      </c>
      <c r="N60" s="41" t="s">
        <v>399</v>
      </c>
      <c r="O60" s="41" t="s">
        <v>400</v>
      </c>
      <c r="P60" s="16" t="s">
        <v>142</v>
      </c>
      <c r="Q60" s="38" t="s">
        <v>401</v>
      </c>
      <c r="R60" s="67" t="s">
        <v>405</v>
      </c>
      <c r="S60" s="8"/>
      <c r="T60" s="8"/>
      <c r="U60" s="8"/>
      <c r="V60" s="8"/>
      <c r="W60" s="8"/>
      <c r="X60" s="8"/>
      <c r="Y60" s="8"/>
      <c r="AA60" s="14" t="s">
        <v>406</v>
      </c>
      <c r="AB60" s="12" t="s">
        <v>403</v>
      </c>
      <c r="AD60">
        <f t="shared" si="0"/>
        <v>1</v>
      </c>
    </row>
    <row r="61" spans="1:30" ht="13" customHeight="1" x14ac:dyDescent="0.35">
      <c r="A61" s="7" t="s">
        <v>32</v>
      </c>
      <c r="B61" s="8" t="s">
        <v>70</v>
      </c>
      <c r="C61" s="8"/>
      <c r="D61" s="8" t="s">
        <v>101</v>
      </c>
      <c r="E61" s="8" t="s">
        <v>407</v>
      </c>
      <c r="F61" s="9" t="s">
        <v>35</v>
      </c>
      <c r="G61" s="8" t="s">
        <v>174</v>
      </c>
      <c r="I61" s="8" t="s">
        <v>408</v>
      </c>
      <c r="J61" s="8" t="s">
        <v>106</v>
      </c>
      <c r="K61" s="8" t="s">
        <v>55</v>
      </c>
      <c r="L61" s="10"/>
      <c r="M61" s="10"/>
      <c r="N61" s="10"/>
      <c r="O61" s="11"/>
      <c r="Q61" s="8"/>
      <c r="R61" s="12"/>
      <c r="S61" s="8"/>
      <c r="T61" s="8"/>
      <c r="U61" s="8"/>
      <c r="V61" s="8"/>
      <c r="W61" s="8"/>
      <c r="X61" s="8"/>
      <c r="Y61" s="8"/>
      <c r="AA61" s="14" t="s">
        <v>409</v>
      </c>
      <c r="AD61" t="str">
        <f t="shared" si="0"/>
        <v/>
      </c>
    </row>
    <row r="62" spans="1:30" ht="13" customHeight="1" x14ac:dyDescent="0.35">
      <c r="A62" s="7" t="s">
        <v>32</v>
      </c>
      <c r="B62" s="8" t="s">
        <v>48</v>
      </c>
      <c r="C62" s="8"/>
      <c r="D62" s="8" t="s">
        <v>49</v>
      </c>
      <c r="E62" s="16" t="s">
        <v>410</v>
      </c>
      <c r="F62" s="9" t="s">
        <v>235</v>
      </c>
      <c r="G62" s="8" t="s">
        <v>52</v>
      </c>
      <c r="I62" s="38" t="s">
        <v>411</v>
      </c>
      <c r="J62" s="16" t="s">
        <v>54</v>
      </c>
      <c r="K62" s="8" t="s">
        <v>55</v>
      </c>
      <c r="L62" s="17" t="s">
        <v>412</v>
      </c>
      <c r="M62" s="18" t="s">
        <v>181</v>
      </c>
      <c r="N62" s="18"/>
      <c r="O62" s="68" t="s">
        <v>413</v>
      </c>
      <c r="P62" s="16" t="s">
        <v>66</v>
      </c>
      <c r="Q62" s="16" t="s">
        <v>67</v>
      </c>
      <c r="R62" s="20" t="s">
        <v>118</v>
      </c>
      <c r="S62" s="8"/>
      <c r="T62" s="8"/>
      <c r="U62" s="8"/>
      <c r="V62" s="8"/>
      <c r="W62" s="8"/>
      <c r="X62" s="8"/>
      <c r="Y62" s="8"/>
      <c r="AA62" s="14" t="s">
        <v>414</v>
      </c>
      <c r="AD62">
        <f t="shared" si="0"/>
        <v>1</v>
      </c>
    </row>
    <row r="63" spans="1:30" ht="13" customHeight="1" x14ac:dyDescent="0.35">
      <c r="A63" s="7" t="s">
        <v>32</v>
      </c>
      <c r="B63" s="8" t="s">
        <v>48</v>
      </c>
      <c r="C63" s="8"/>
      <c r="D63" s="8" t="s">
        <v>49</v>
      </c>
      <c r="E63" s="38" t="s">
        <v>415</v>
      </c>
      <c r="F63" s="9" t="s">
        <v>235</v>
      </c>
      <c r="G63" s="8" t="s">
        <v>52</v>
      </c>
      <c r="I63" s="38" t="s">
        <v>416</v>
      </c>
      <c r="J63" s="16" t="s">
        <v>54</v>
      </c>
      <c r="K63" s="8" t="s">
        <v>55</v>
      </c>
      <c r="L63" s="66" t="s">
        <v>417</v>
      </c>
      <c r="M63" s="40" t="s">
        <v>181</v>
      </c>
      <c r="N63" s="40"/>
      <c r="O63" s="41" t="s">
        <v>418</v>
      </c>
      <c r="P63" s="38" t="s">
        <v>66</v>
      </c>
      <c r="Q63" s="38" t="s">
        <v>190</v>
      </c>
      <c r="R63" s="67" t="s">
        <v>118</v>
      </c>
      <c r="S63" s="8"/>
      <c r="T63" s="8"/>
      <c r="U63" s="8"/>
      <c r="V63" s="8"/>
      <c r="W63" s="8"/>
      <c r="X63" s="8"/>
      <c r="Y63" s="8"/>
      <c r="AA63" s="14" t="s">
        <v>419</v>
      </c>
      <c r="AD63">
        <f t="shared" si="0"/>
        <v>1</v>
      </c>
    </row>
    <row r="64" spans="1:30" ht="13" customHeight="1" x14ac:dyDescent="0.35">
      <c r="A64" s="7" t="s">
        <v>32</v>
      </c>
      <c r="B64" s="8" t="s">
        <v>70</v>
      </c>
      <c r="C64" s="8"/>
      <c r="D64" s="8" t="s">
        <v>120</v>
      </c>
      <c r="E64" s="9" t="s">
        <v>420</v>
      </c>
      <c r="F64" s="9" t="s">
        <v>35</v>
      </c>
      <c r="G64" s="8" t="s">
        <v>421</v>
      </c>
      <c r="I64" s="9" t="s">
        <v>422</v>
      </c>
      <c r="J64" s="9" t="s">
        <v>123</v>
      </c>
      <c r="K64" s="9" t="s">
        <v>55</v>
      </c>
      <c r="L64" s="69" t="s">
        <v>423</v>
      </c>
      <c r="M64" s="69"/>
      <c r="N64" s="69"/>
      <c r="O64" s="11" t="s">
        <v>424</v>
      </c>
      <c r="P64" s="9" t="s">
        <v>66</v>
      </c>
      <c r="Q64" s="9" t="s">
        <v>425</v>
      </c>
      <c r="R64" s="46" t="s">
        <v>60</v>
      </c>
      <c r="S64" s="8"/>
      <c r="T64" s="8"/>
      <c r="U64" s="8"/>
      <c r="V64" s="8"/>
      <c r="W64" s="8"/>
      <c r="X64" s="8"/>
      <c r="Y64" s="8"/>
      <c r="AA64" s="14" t="s">
        <v>426</v>
      </c>
      <c r="AB64" s="12" t="s">
        <v>427</v>
      </c>
      <c r="AD64" t="str">
        <f t="shared" si="0"/>
        <v/>
      </c>
    </row>
    <row r="65" spans="1:30" ht="13" customHeight="1" x14ac:dyDescent="0.35">
      <c r="A65" s="7" t="s">
        <v>32</v>
      </c>
      <c r="B65" s="8" t="s">
        <v>48</v>
      </c>
      <c r="C65" s="8"/>
      <c r="D65" s="8" t="s">
        <v>49</v>
      </c>
      <c r="E65" s="16" t="s">
        <v>420</v>
      </c>
      <c r="F65" s="9" t="s">
        <v>35</v>
      </c>
      <c r="G65" s="8" t="s">
        <v>52</v>
      </c>
      <c r="I65" s="16" t="s">
        <v>428</v>
      </c>
      <c r="J65" s="16" t="s">
        <v>54</v>
      </c>
      <c r="K65" s="8" t="s">
        <v>55</v>
      </c>
      <c r="L65" s="70" t="s">
        <v>423</v>
      </c>
      <c r="M65" s="70"/>
      <c r="N65" s="70"/>
      <c r="O65" s="68" t="s">
        <v>424</v>
      </c>
      <c r="P65" s="16" t="s">
        <v>66</v>
      </c>
      <c r="Q65" s="71" t="s">
        <v>425</v>
      </c>
      <c r="R65" s="20" t="s">
        <v>60</v>
      </c>
      <c r="S65" s="8"/>
      <c r="T65" s="8"/>
      <c r="U65" s="8"/>
      <c r="V65" s="8"/>
      <c r="W65" s="8"/>
      <c r="X65" s="8"/>
      <c r="Y65" s="8"/>
      <c r="AA65" s="14" t="s">
        <v>429</v>
      </c>
      <c r="AB65" s="12" t="s">
        <v>427</v>
      </c>
      <c r="AD65" t="str">
        <f t="shared" si="0"/>
        <v/>
      </c>
    </row>
    <row r="66" spans="1:30" ht="13" customHeight="1" x14ac:dyDescent="0.35">
      <c r="A66" s="7" t="s">
        <v>32</v>
      </c>
      <c r="B66" s="8" t="s">
        <v>33</v>
      </c>
      <c r="C66" s="8"/>
      <c r="E66" s="8" t="s">
        <v>430</v>
      </c>
      <c r="F66" s="9" t="s">
        <v>35</v>
      </c>
      <c r="G66" s="8" t="s">
        <v>336</v>
      </c>
      <c r="H66" s="10" t="s">
        <v>193</v>
      </c>
      <c r="I66" s="8" t="s">
        <v>431</v>
      </c>
      <c r="J66" s="8" t="s">
        <v>432</v>
      </c>
      <c r="K66"/>
      <c r="L66" s="56" t="s">
        <v>433</v>
      </c>
      <c r="M66" s="72" t="s">
        <v>434</v>
      </c>
      <c r="N66" s="11" t="s">
        <v>435</v>
      </c>
      <c r="O66" s="11"/>
      <c r="Q66" s="8"/>
      <c r="R66" s="12"/>
      <c r="S66" s="8"/>
      <c r="T66" s="8"/>
      <c r="U66" s="8"/>
      <c r="V66" s="8"/>
      <c r="W66" s="8"/>
      <c r="X66" s="8"/>
      <c r="Y66" s="13">
        <v>45582</v>
      </c>
      <c r="AA66" s="14" t="s">
        <v>436</v>
      </c>
      <c r="AB66" s="12" t="s">
        <v>437</v>
      </c>
      <c r="AD66">
        <f t="shared" ref="AD66:AD129" si="1">IF(M66="","",COUNTA(_xlfn.TEXTSPLIT(M66,CHAR(10))))</f>
        <v>1</v>
      </c>
    </row>
    <row r="67" spans="1:30" ht="13" customHeight="1" x14ac:dyDescent="0.35">
      <c r="A67" s="7" t="s">
        <v>32</v>
      </c>
      <c r="B67" s="8" t="s">
        <v>438</v>
      </c>
      <c r="C67" s="8"/>
      <c r="E67" s="8" t="s">
        <v>439</v>
      </c>
      <c r="F67" s="8" t="s">
        <v>35</v>
      </c>
      <c r="G67" s="8" t="s">
        <v>36</v>
      </c>
      <c r="H67" s="10" t="s">
        <v>440</v>
      </c>
      <c r="I67" s="8" t="s">
        <v>441</v>
      </c>
      <c r="J67" s="8" t="s">
        <v>442</v>
      </c>
      <c r="K67" t="s">
        <v>40</v>
      </c>
      <c r="L67" s="56" t="s">
        <v>443</v>
      </c>
      <c r="M67" s="57" t="s">
        <v>444</v>
      </c>
      <c r="N67" s="73" t="s">
        <v>445</v>
      </c>
      <c r="O67" s="11" t="s">
        <v>446</v>
      </c>
      <c r="Q67" s="8"/>
      <c r="R67" s="12"/>
      <c r="S67" s="8"/>
      <c r="T67" s="8"/>
      <c r="U67" s="8"/>
      <c r="V67" s="8"/>
      <c r="W67" s="8"/>
      <c r="X67" s="8"/>
      <c r="Y67" s="13">
        <v>45615</v>
      </c>
      <c r="Z67" s="8" t="s">
        <v>228</v>
      </c>
      <c r="AA67" s="14" t="s">
        <v>447</v>
      </c>
      <c r="AB67" s="15" t="s">
        <v>448</v>
      </c>
      <c r="AD67">
        <f t="shared" si="1"/>
        <v>2</v>
      </c>
    </row>
    <row r="68" spans="1:30" ht="13" customHeight="1" x14ac:dyDescent="0.35">
      <c r="A68" s="7" t="s">
        <v>32</v>
      </c>
      <c r="B68" s="8" t="s">
        <v>33</v>
      </c>
      <c r="C68" s="8"/>
      <c r="E68" s="8" t="s">
        <v>449</v>
      </c>
      <c r="F68" s="8" t="s">
        <v>35</v>
      </c>
      <c r="G68" s="8" t="s">
        <v>36</v>
      </c>
      <c r="H68" s="10" t="s">
        <v>440</v>
      </c>
      <c r="I68" s="8" t="s">
        <v>450</v>
      </c>
      <c r="J68" s="8" t="s">
        <v>45</v>
      </c>
      <c r="K68" s="8" t="s">
        <v>40</v>
      </c>
      <c r="L68" s="56" t="s">
        <v>443</v>
      </c>
      <c r="M68" s="57" t="s">
        <v>444</v>
      </c>
      <c r="N68" s="73" t="s">
        <v>451</v>
      </c>
      <c r="O68" s="11" t="s">
        <v>452</v>
      </c>
      <c r="Q68"/>
      <c r="R68" s="12"/>
      <c r="S68" s="8"/>
      <c r="T68" s="8"/>
      <c r="U68" s="8"/>
      <c r="V68" s="8"/>
      <c r="W68" s="8"/>
      <c r="X68" s="8"/>
      <c r="Y68" s="13">
        <v>45615</v>
      </c>
      <c r="Z68" s="8" t="s">
        <v>228</v>
      </c>
      <c r="AA68" s="14" t="s">
        <v>453</v>
      </c>
      <c r="AB68" s="15" t="s">
        <v>454</v>
      </c>
      <c r="AD68">
        <f t="shared" si="1"/>
        <v>2</v>
      </c>
    </row>
    <row r="69" spans="1:30" ht="13" customHeight="1" x14ac:dyDescent="0.35">
      <c r="A69" s="7" t="s">
        <v>32</v>
      </c>
      <c r="B69" s="8" t="s">
        <v>438</v>
      </c>
      <c r="C69" s="8"/>
      <c r="E69" s="8" t="s">
        <v>455</v>
      </c>
      <c r="F69" s="8" t="s">
        <v>35</v>
      </c>
      <c r="G69" s="8" t="s">
        <v>36</v>
      </c>
      <c r="H69" s="10" t="s">
        <v>440</v>
      </c>
      <c r="I69" s="8" t="s">
        <v>456</v>
      </c>
      <c r="J69" s="8" t="s">
        <v>45</v>
      </c>
      <c r="K69" s="8" t="s">
        <v>40</v>
      </c>
      <c r="L69" s="56" t="s">
        <v>443</v>
      </c>
      <c r="M69" s="57" t="s">
        <v>444</v>
      </c>
      <c r="N69" s="73" t="s">
        <v>451</v>
      </c>
      <c r="O69" s="11" t="s">
        <v>446</v>
      </c>
      <c r="Q69"/>
      <c r="R69" s="12"/>
      <c r="S69" s="8"/>
      <c r="T69" s="8"/>
      <c r="U69" s="8"/>
      <c r="V69" s="8"/>
      <c r="W69" s="8"/>
      <c r="X69" s="8"/>
      <c r="Y69" s="13">
        <v>45615</v>
      </c>
      <c r="Z69" s="8" t="s">
        <v>228</v>
      </c>
      <c r="AA69" s="14" t="s">
        <v>457</v>
      </c>
      <c r="AB69" s="15" t="s">
        <v>458</v>
      </c>
      <c r="AD69">
        <f t="shared" si="1"/>
        <v>2</v>
      </c>
    </row>
    <row r="70" spans="1:30" ht="13" customHeight="1" x14ac:dyDescent="0.35">
      <c r="A70" s="7" t="s">
        <v>32</v>
      </c>
      <c r="B70" s="8" t="s">
        <v>438</v>
      </c>
      <c r="C70" s="8"/>
      <c r="E70" s="8" t="s">
        <v>459</v>
      </c>
      <c r="F70" s="8" t="s">
        <v>35</v>
      </c>
      <c r="G70" s="8" t="s">
        <v>36</v>
      </c>
      <c r="H70" s="10" t="s">
        <v>440</v>
      </c>
      <c r="I70" s="8" t="s">
        <v>460</v>
      </c>
      <c r="J70" s="8" t="s">
        <v>45</v>
      </c>
      <c r="K70" s="8" t="s">
        <v>40</v>
      </c>
      <c r="L70" s="56" t="s">
        <v>443</v>
      </c>
      <c r="M70" s="57" t="s">
        <v>444</v>
      </c>
      <c r="N70" s="73" t="s">
        <v>451</v>
      </c>
      <c r="O70" s="11" t="s">
        <v>461</v>
      </c>
      <c r="Q70" s="8"/>
      <c r="R70" s="12"/>
      <c r="S70" s="8"/>
      <c r="T70" s="8"/>
      <c r="U70" s="8"/>
      <c r="V70" s="8"/>
      <c r="W70" s="8"/>
      <c r="X70" s="8"/>
      <c r="Y70" s="13">
        <v>45615</v>
      </c>
      <c r="Z70" s="8" t="s">
        <v>228</v>
      </c>
      <c r="AA70" s="14" t="s">
        <v>462</v>
      </c>
      <c r="AB70" s="15" t="s">
        <v>463</v>
      </c>
      <c r="AD70">
        <f t="shared" si="1"/>
        <v>2</v>
      </c>
    </row>
    <row r="71" spans="1:30" ht="13" customHeight="1" x14ac:dyDescent="0.35">
      <c r="A71" s="7" t="s">
        <v>32</v>
      </c>
      <c r="B71" s="8" t="s">
        <v>438</v>
      </c>
      <c r="C71" s="8"/>
      <c r="E71" s="8" t="s">
        <v>464</v>
      </c>
      <c r="F71" s="8" t="s">
        <v>35</v>
      </c>
      <c r="G71" s="8" t="s">
        <v>36</v>
      </c>
      <c r="H71" s="10" t="s">
        <v>440</v>
      </c>
      <c r="I71" s="8" t="s">
        <v>450</v>
      </c>
      <c r="J71" s="8" t="s">
        <v>45</v>
      </c>
      <c r="K71" s="8" t="s">
        <v>40</v>
      </c>
      <c r="L71" s="56" t="s">
        <v>443</v>
      </c>
      <c r="M71" s="57" t="s">
        <v>444</v>
      </c>
      <c r="N71" s="73" t="s">
        <v>451</v>
      </c>
      <c r="O71" s="11" t="s">
        <v>465</v>
      </c>
      <c r="Q71" s="8"/>
      <c r="R71" s="8"/>
      <c r="S71" s="8"/>
      <c r="T71" s="8"/>
      <c r="U71" s="8"/>
      <c r="V71" s="8"/>
      <c r="W71" s="8"/>
      <c r="X71" s="8"/>
      <c r="Y71" s="13">
        <v>45615</v>
      </c>
      <c r="Z71" s="8" t="s">
        <v>228</v>
      </c>
      <c r="AA71" s="14" t="s">
        <v>466</v>
      </c>
      <c r="AB71" s="15" t="s">
        <v>454</v>
      </c>
      <c r="AD71">
        <f t="shared" si="1"/>
        <v>2</v>
      </c>
    </row>
    <row r="72" spans="1:30" ht="13" customHeight="1" x14ac:dyDescent="0.35">
      <c r="A72" s="7" t="s">
        <v>32</v>
      </c>
      <c r="B72" s="8" t="s">
        <v>438</v>
      </c>
      <c r="C72" s="8"/>
      <c r="E72" s="8" t="s">
        <v>467</v>
      </c>
      <c r="F72" s="8" t="s">
        <v>35</v>
      </c>
      <c r="G72" s="8" t="s">
        <v>36</v>
      </c>
      <c r="H72" s="10" t="s">
        <v>440</v>
      </c>
      <c r="I72" s="8" t="s">
        <v>468</v>
      </c>
      <c r="J72" s="8" t="s">
        <v>45</v>
      </c>
      <c r="K72" s="8" t="s">
        <v>40</v>
      </c>
      <c r="L72" s="56" t="s">
        <v>443</v>
      </c>
      <c r="M72" s="57" t="s">
        <v>444</v>
      </c>
      <c r="N72" s="73" t="s">
        <v>451</v>
      </c>
      <c r="O72" s="11" t="s">
        <v>469</v>
      </c>
      <c r="Q72" s="8"/>
      <c r="R72" s="8"/>
      <c r="S72" s="8"/>
      <c r="T72" s="8"/>
      <c r="U72" s="8"/>
      <c r="V72" s="8"/>
      <c r="W72" s="8"/>
      <c r="X72" s="8"/>
      <c r="Y72" s="13">
        <v>45615</v>
      </c>
      <c r="Z72" s="8" t="s">
        <v>228</v>
      </c>
      <c r="AA72" s="14" t="s">
        <v>470</v>
      </c>
      <c r="AB72" s="15" t="s">
        <v>471</v>
      </c>
      <c r="AD72">
        <f t="shared" si="1"/>
        <v>2</v>
      </c>
    </row>
    <row r="73" spans="1:30" ht="13" customHeight="1" x14ac:dyDescent="0.35">
      <c r="A73" s="7" t="s">
        <v>32</v>
      </c>
      <c r="B73" s="8" t="s">
        <v>438</v>
      </c>
      <c r="C73" s="8"/>
      <c r="E73" s="8" t="s">
        <v>467</v>
      </c>
      <c r="F73" s="8" t="s">
        <v>35</v>
      </c>
      <c r="G73" s="8" t="s">
        <v>36</v>
      </c>
      <c r="H73" s="10" t="s">
        <v>440</v>
      </c>
      <c r="I73" s="8" t="s">
        <v>472</v>
      </c>
      <c r="J73" s="8" t="s">
        <v>45</v>
      </c>
      <c r="K73" s="8" t="s">
        <v>40</v>
      </c>
      <c r="L73" s="56" t="s">
        <v>443</v>
      </c>
      <c r="M73" s="57" t="s">
        <v>444</v>
      </c>
      <c r="N73" s="73" t="s">
        <v>451</v>
      </c>
      <c r="O73" s="11" t="s">
        <v>473</v>
      </c>
      <c r="Q73" s="8"/>
      <c r="R73" s="8"/>
      <c r="S73" s="8"/>
      <c r="T73" s="8"/>
      <c r="U73" s="8"/>
      <c r="V73" s="8"/>
      <c r="W73" s="8"/>
      <c r="X73" s="8"/>
      <c r="Y73" s="13">
        <v>45615</v>
      </c>
      <c r="Z73" s="8" t="s">
        <v>228</v>
      </c>
      <c r="AA73" s="14" t="s">
        <v>474</v>
      </c>
      <c r="AB73" s="15" t="s">
        <v>475</v>
      </c>
      <c r="AD73">
        <f t="shared" si="1"/>
        <v>2</v>
      </c>
    </row>
    <row r="74" spans="1:30" ht="13" customHeight="1" x14ac:dyDescent="0.35">
      <c r="A74" s="7" t="s">
        <v>32</v>
      </c>
      <c r="B74" s="8" t="s">
        <v>438</v>
      </c>
      <c r="C74" s="8"/>
      <c r="E74" s="8" t="s">
        <v>476</v>
      </c>
      <c r="F74" s="8" t="s">
        <v>35</v>
      </c>
      <c r="G74" s="8" t="s">
        <v>36</v>
      </c>
      <c r="H74" s="10" t="s">
        <v>440</v>
      </c>
      <c r="I74" s="8" t="s">
        <v>477</v>
      </c>
      <c r="J74" s="8" t="s">
        <v>45</v>
      </c>
      <c r="K74" s="8" t="s">
        <v>40</v>
      </c>
      <c r="L74" s="56" t="s">
        <v>443</v>
      </c>
      <c r="M74" s="57" t="s">
        <v>444</v>
      </c>
      <c r="N74" s="73" t="s">
        <v>451</v>
      </c>
      <c r="O74" s="11" t="s">
        <v>478</v>
      </c>
      <c r="Q74" s="8"/>
      <c r="R74" s="8"/>
      <c r="S74" s="8"/>
      <c r="T74" s="8"/>
      <c r="U74" s="8"/>
      <c r="V74" s="8"/>
      <c r="W74" s="8"/>
      <c r="X74" s="8"/>
      <c r="Y74" s="13">
        <v>45615</v>
      </c>
      <c r="Z74" s="8" t="s">
        <v>228</v>
      </c>
      <c r="AA74" s="14" t="s">
        <v>479</v>
      </c>
      <c r="AB74" s="15" t="s">
        <v>480</v>
      </c>
      <c r="AD74">
        <f t="shared" si="1"/>
        <v>2</v>
      </c>
    </row>
    <row r="75" spans="1:30" ht="13" customHeight="1" x14ac:dyDescent="0.35">
      <c r="A75" s="7" t="s">
        <v>32</v>
      </c>
      <c r="B75" s="8" t="s">
        <v>438</v>
      </c>
      <c r="C75" s="8"/>
      <c r="E75" s="8" t="s">
        <v>481</v>
      </c>
      <c r="F75" s="9" t="s">
        <v>35</v>
      </c>
      <c r="G75" s="8" t="s">
        <v>36</v>
      </c>
      <c r="H75" s="10" t="s">
        <v>440</v>
      </c>
      <c r="I75" s="8" t="s">
        <v>482</v>
      </c>
      <c r="J75" s="8" t="s">
        <v>45</v>
      </c>
      <c r="K75" s="8" t="s">
        <v>40</v>
      </c>
      <c r="L75" s="10" t="s">
        <v>443</v>
      </c>
      <c r="M75" s="11" t="s">
        <v>444</v>
      </c>
      <c r="N75" s="11" t="s">
        <v>451</v>
      </c>
      <c r="O75" s="11" t="s">
        <v>483</v>
      </c>
      <c r="Q75" s="8"/>
      <c r="R75" s="8"/>
      <c r="S75" s="8"/>
      <c r="T75" s="8"/>
      <c r="U75" s="8"/>
      <c r="V75" s="8"/>
      <c r="W75" s="8"/>
      <c r="X75" s="8"/>
      <c r="Y75" s="13">
        <v>45615</v>
      </c>
      <c r="Z75" s="8" t="s">
        <v>228</v>
      </c>
      <c r="AA75" s="14" t="s">
        <v>484</v>
      </c>
      <c r="AB75" s="15" t="s">
        <v>485</v>
      </c>
      <c r="AD75">
        <f t="shared" si="1"/>
        <v>2</v>
      </c>
    </row>
    <row r="76" spans="1:30" ht="13" customHeight="1" x14ac:dyDescent="0.35">
      <c r="A76" s="7" t="s">
        <v>32</v>
      </c>
      <c r="B76" s="8" t="s">
        <v>70</v>
      </c>
      <c r="C76" s="8"/>
      <c r="D76" s="8" t="s">
        <v>120</v>
      </c>
      <c r="E76" s="9" t="s">
        <v>486</v>
      </c>
      <c r="F76" s="9" t="s">
        <v>35</v>
      </c>
      <c r="G76" s="8" t="s">
        <v>130</v>
      </c>
      <c r="I76" s="9" t="s">
        <v>487</v>
      </c>
      <c r="J76" s="9" t="s">
        <v>123</v>
      </c>
      <c r="K76" s="9" t="s">
        <v>132</v>
      </c>
      <c r="L76" s="69" t="s">
        <v>423</v>
      </c>
      <c r="M76" s="69"/>
      <c r="N76" s="69"/>
      <c r="O76" s="44" t="s">
        <v>424</v>
      </c>
      <c r="P76" s="9" t="s">
        <v>66</v>
      </c>
      <c r="Q76" s="9" t="s">
        <v>425</v>
      </c>
      <c r="R76" s="9" t="s">
        <v>60</v>
      </c>
      <c r="S76" s="8"/>
      <c r="T76" s="8"/>
      <c r="U76" s="8"/>
      <c r="V76" s="8"/>
      <c r="W76" s="8"/>
      <c r="X76" s="8"/>
      <c r="Y76" s="8"/>
      <c r="AA76" s="14" t="s">
        <v>488</v>
      </c>
      <c r="AB76" s="12" t="s">
        <v>427</v>
      </c>
      <c r="AD76" t="str">
        <f t="shared" si="1"/>
        <v/>
      </c>
    </row>
    <row r="77" spans="1:30" ht="13" customHeight="1" x14ac:dyDescent="0.35">
      <c r="A77" s="7" t="s">
        <v>32</v>
      </c>
      <c r="B77" s="8" t="s">
        <v>33</v>
      </c>
      <c r="C77" s="8"/>
      <c r="E77" s="8" t="s">
        <v>489</v>
      </c>
      <c r="F77" s="9" t="s">
        <v>35</v>
      </c>
      <c r="G77" s="8" t="s">
        <v>336</v>
      </c>
      <c r="H77" s="10" t="s">
        <v>37</v>
      </c>
      <c r="I77" s="8" t="s">
        <v>490</v>
      </c>
      <c r="J77" s="8" t="s">
        <v>45</v>
      </c>
      <c r="K77" s="8" t="s">
        <v>40</v>
      </c>
      <c r="L77" s="10"/>
      <c r="M77" s="10"/>
      <c r="N77" s="10"/>
      <c r="O77" s="11"/>
      <c r="Q77" s="8"/>
      <c r="R77" s="8"/>
      <c r="S77" s="8"/>
      <c r="T77" s="8"/>
      <c r="U77" s="8"/>
      <c r="V77" s="8"/>
      <c r="W77" s="8"/>
      <c r="X77" s="8"/>
      <c r="Y77" s="13">
        <v>45582</v>
      </c>
      <c r="AA77" s="14" t="s">
        <v>491</v>
      </c>
      <c r="AB77" s="15" t="s">
        <v>492</v>
      </c>
      <c r="AD77" t="str">
        <f t="shared" si="1"/>
        <v/>
      </c>
    </row>
    <row r="78" spans="1:30" ht="13" customHeight="1" x14ac:dyDescent="0.35">
      <c r="A78" s="7" t="s">
        <v>32</v>
      </c>
      <c r="B78" s="8" t="s">
        <v>48</v>
      </c>
      <c r="C78" s="8"/>
      <c r="D78" s="8" t="s">
        <v>49</v>
      </c>
      <c r="E78" s="16" t="s">
        <v>493</v>
      </c>
      <c r="F78" s="9" t="s">
        <v>35</v>
      </c>
      <c r="G78" s="8" t="s">
        <v>174</v>
      </c>
      <c r="I78" s="16" t="s">
        <v>494</v>
      </c>
      <c r="J78" s="16" t="s">
        <v>54</v>
      </c>
      <c r="K78" s="8" t="s">
        <v>132</v>
      </c>
      <c r="L78" s="18" t="s">
        <v>423</v>
      </c>
      <c r="M78" s="18"/>
      <c r="N78" s="18"/>
      <c r="O78" s="68" t="s">
        <v>424</v>
      </c>
      <c r="P78" s="16" t="s">
        <v>66</v>
      </c>
      <c r="Q78" s="71" t="s">
        <v>425</v>
      </c>
      <c r="R78" s="16" t="s">
        <v>60</v>
      </c>
      <c r="S78" s="8"/>
      <c r="T78" s="8"/>
      <c r="U78" s="8"/>
      <c r="V78" s="8"/>
      <c r="W78" s="8"/>
      <c r="X78" s="8"/>
      <c r="Y78" s="8"/>
      <c r="AA78" s="14" t="s">
        <v>495</v>
      </c>
      <c r="AB78" s="12" t="s">
        <v>427</v>
      </c>
      <c r="AD78" t="str">
        <f t="shared" si="1"/>
        <v/>
      </c>
    </row>
    <row r="79" spans="1:30" ht="13" customHeight="1" x14ac:dyDescent="0.35">
      <c r="A79" s="7" t="s">
        <v>32</v>
      </c>
      <c r="B79" s="8" t="s">
        <v>70</v>
      </c>
      <c r="C79" s="8"/>
      <c r="D79" s="8" t="s">
        <v>120</v>
      </c>
      <c r="E79" s="47" t="s">
        <v>496</v>
      </c>
      <c r="F79" s="9" t="s">
        <v>103</v>
      </c>
      <c r="G79" s="8" t="s">
        <v>130</v>
      </c>
      <c r="I79" s="8" t="s">
        <v>497</v>
      </c>
      <c r="J79" s="9" t="s">
        <v>123</v>
      </c>
      <c r="K79" s="9" t="s">
        <v>132</v>
      </c>
      <c r="L79" s="10" t="s">
        <v>498</v>
      </c>
      <c r="M79" s="10" t="s">
        <v>499</v>
      </c>
      <c r="N79" s="10" t="s">
        <v>500</v>
      </c>
      <c r="O79" s="11" t="s">
        <v>501</v>
      </c>
      <c r="P79" s="16" t="s">
        <v>142</v>
      </c>
      <c r="Q79" s="9" t="s">
        <v>502</v>
      </c>
      <c r="R79" s="9" t="s">
        <v>118</v>
      </c>
      <c r="S79" s="8"/>
      <c r="T79" s="8"/>
      <c r="U79" s="8"/>
      <c r="V79" s="8"/>
      <c r="W79" s="8"/>
      <c r="X79" s="8"/>
      <c r="Y79" s="8"/>
      <c r="AA79" s="14" t="s">
        <v>503</v>
      </c>
      <c r="AD79">
        <f t="shared" si="1"/>
        <v>1</v>
      </c>
    </row>
    <row r="80" spans="1:30" ht="13" customHeight="1" x14ac:dyDescent="0.35">
      <c r="A80" s="7" t="s">
        <v>32</v>
      </c>
      <c r="B80" s="8" t="s">
        <v>33</v>
      </c>
      <c r="C80" s="8"/>
      <c r="E80" s="8" t="s">
        <v>504</v>
      </c>
      <c r="F80" s="9" t="s">
        <v>35</v>
      </c>
      <c r="G80" s="8" t="s">
        <v>36</v>
      </c>
      <c r="H80" s="10" t="s">
        <v>37</v>
      </c>
      <c r="I80" s="8" t="s">
        <v>505</v>
      </c>
      <c r="J80" s="8" t="s">
        <v>45</v>
      </c>
      <c r="K80" s="8" t="s">
        <v>40</v>
      </c>
      <c r="L80" s="10"/>
      <c r="M80" s="10"/>
      <c r="N80" s="10"/>
      <c r="O80" s="11"/>
      <c r="Q80" s="8"/>
      <c r="R80" s="8"/>
      <c r="S80" s="8"/>
      <c r="T80" s="8"/>
      <c r="U80" s="8"/>
      <c r="V80" s="8"/>
      <c r="W80" s="8"/>
      <c r="X80" s="8"/>
      <c r="Y80" s="13">
        <v>45583</v>
      </c>
      <c r="AA80" s="14" t="s">
        <v>506</v>
      </c>
      <c r="AB80" s="15" t="s">
        <v>507</v>
      </c>
      <c r="AD80" t="str">
        <f t="shared" si="1"/>
        <v/>
      </c>
    </row>
    <row r="81" spans="1:30" ht="13" customHeight="1" x14ac:dyDescent="0.35">
      <c r="A81" s="7" t="s">
        <v>32</v>
      </c>
      <c r="B81" s="8" t="s">
        <v>70</v>
      </c>
      <c r="C81" s="8"/>
      <c r="D81" s="8" t="s">
        <v>120</v>
      </c>
      <c r="E81" s="9" t="s">
        <v>508</v>
      </c>
      <c r="F81" s="9" t="s">
        <v>51</v>
      </c>
      <c r="G81" s="8" t="s">
        <v>130</v>
      </c>
      <c r="I81" s="9" t="s">
        <v>509</v>
      </c>
      <c r="J81" s="9" t="s">
        <v>123</v>
      </c>
      <c r="K81" s="9" t="s">
        <v>55</v>
      </c>
      <c r="L81" s="74" t="s">
        <v>510</v>
      </c>
      <c r="M81" s="75"/>
      <c r="N81" s="75"/>
      <c r="O81" s="44" t="s">
        <v>511</v>
      </c>
      <c r="P81" s="9" t="s">
        <v>66</v>
      </c>
      <c r="Q81" s="9" t="s">
        <v>67</v>
      </c>
      <c r="R81" s="9" t="s">
        <v>118</v>
      </c>
      <c r="S81" s="8"/>
      <c r="T81" s="8"/>
      <c r="U81" s="8"/>
      <c r="V81" s="8"/>
      <c r="W81" s="8"/>
      <c r="X81" s="8"/>
      <c r="Y81" s="8"/>
      <c r="AA81" s="14" t="s">
        <v>512</v>
      </c>
      <c r="AD81" t="str">
        <f t="shared" si="1"/>
        <v/>
      </c>
    </row>
    <row r="82" spans="1:30" ht="13" customHeight="1" x14ac:dyDescent="0.35">
      <c r="A82" s="7" t="s">
        <v>32</v>
      </c>
      <c r="B82" s="8" t="s">
        <v>33</v>
      </c>
      <c r="C82" s="8"/>
      <c r="E82" s="8" t="s">
        <v>513</v>
      </c>
      <c r="F82" s="9" t="s">
        <v>35</v>
      </c>
      <c r="G82" s="8" t="s">
        <v>36</v>
      </c>
      <c r="H82" s="10" t="s">
        <v>37</v>
      </c>
      <c r="I82" s="8" t="s">
        <v>514</v>
      </c>
      <c r="J82" s="8" t="s">
        <v>45</v>
      </c>
      <c r="K82" s="8" t="s">
        <v>40</v>
      </c>
      <c r="L82" s="10"/>
      <c r="M82" s="10"/>
      <c r="N82" s="10"/>
      <c r="O82" s="11"/>
      <c r="Q82" s="8"/>
      <c r="R82" s="8"/>
      <c r="S82" s="8"/>
      <c r="T82" s="8"/>
      <c r="U82" s="8"/>
      <c r="V82" s="8"/>
      <c r="W82" s="8"/>
      <c r="X82" s="8"/>
      <c r="Y82" s="13">
        <v>45583</v>
      </c>
      <c r="Z82" s="8" t="s">
        <v>228</v>
      </c>
      <c r="AA82" s="14" t="s">
        <v>515</v>
      </c>
      <c r="AB82" s="15" t="s">
        <v>516</v>
      </c>
      <c r="AD82" t="str">
        <f t="shared" si="1"/>
        <v/>
      </c>
    </row>
    <row r="83" spans="1:30" ht="13" customHeight="1" x14ac:dyDescent="0.35">
      <c r="A83" s="7" t="s">
        <v>32</v>
      </c>
      <c r="B83" s="8" t="s">
        <v>48</v>
      </c>
      <c r="C83" s="8"/>
      <c r="D83" s="8" t="s">
        <v>172</v>
      </c>
      <c r="E83" s="8" t="s">
        <v>517</v>
      </c>
      <c r="F83" s="9" t="s">
        <v>35</v>
      </c>
      <c r="G83" s="8" t="s">
        <v>174</v>
      </c>
      <c r="I83" s="8" t="s">
        <v>518</v>
      </c>
      <c r="J83" s="8" t="s">
        <v>176</v>
      </c>
      <c r="K83" s="8" t="s">
        <v>55</v>
      </c>
      <c r="L83" s="10"/>
      <c r="M83" s="10"/>
      <c r="N83" s="10"/>
      <c r="O83" s="11"/>
      <c r="Q83" s="8"/>
      <c r="R83" s="8"/>
      <c r="S83" s="8"/>
      <c r="T83" s="8"/>
      <c r="U83" s="8"/>
      <c r="V83" s="8"/>
      <c r="W83" s="8"/>
      <c r="X83" s="8"/>
      <c r="Y83" s="8"/>
      <c r="AA83" s="14" t="s">
        <v>519</v>
      </c>
      <c r="AD83" t="str">
        <f t="shared" si="1"/>
        <v/>
      </c>
    </row>
    <row r="84" spans="1:30" ht="13" customHeight="1" x14ac:dyDescent="0.35">
      <c r="A84" s="7" t="s">
        <v>32</v>
      </c>
      <c r="B84" s="8" t="s">
        <v>70</v>
      </c>
      <c r="C84" s="8"/>
      <c r="D84" s="8" t="s">
        <v>101</v>
      </c>
      <c r="E84" s="8" t="s">
        <v>520</v>
      </c>
      <c r="F84" s="9" t="s">
        <v>35</v>
      </c>
      <c r="G84" s="8" t="s">
        <v>174</v>
      </c>
      <c r="I84" s="8" t="s">
        <v>521</v>
      </c>
      <c r="J84" s="8" t="s">
        <v>106</v>
      </c>
      <c r="K84" s="8" t="s">
        <v>132</v>
      </c>
      <c r="L84" s="10"/>
      <c r="M84" s="10"/>
      <c r="N84" s="10"/>
      <c r="O84" s="11"/>
      <c r="Q84" s="8"/>
      <c r="R84" s="8"/>
      <c r="S84" s="8"/>
      <c r="T84" s="8"/>
      <c r="U84" s="8"/>
      <c r="V84" s="8"/>
      <c r="W84" s="8"/>
      <c r="X84" s="8"/>
      <c r="Y84" s="8"/>
      <c r="AA84" s="14" t="s">
        <v>522</v>
      </c>
      <c r="AD84" t="str">
        <f t="shared" si="1"/>
        <v/>
      </c>
    </row>
    <row r="85" spans="1:30" ht="13" customHeight="1" x14ac:dyDescent="0.35">
      <c r="A85" s="7" t="s">
        <v>32</v>
      </c>
      <c r="B85" s="8" t="s">
        <v>33</v>
      </c>
      <c r="C85" s="8"/>
      <c r="E85" s="8" t="s">
        <v>523</v>
      </c>
      <c r="F85" s="9" t="s">
        <v>35</v>
      </c>
      <c r="G85" s="8" t="s">
        <v>36</v>
      </c>
      <c r="H85" s="10" t="s">
        <v>37</v>
      </c>
      <c r="I85" s="8" t="s">
        <v>524</v>
      </c>
      <c r="J85" s="8" t="s">
        <v>45</v>
      </c>
      <c r="K85" s="8" t="s">
        <v>40</v>
      </c>
      <c r="L85" s="10"/>
      <c r="M85" s="10"/>
      <c r="N85" s="10"/>
      <c r="O85" s="11"/>
      <c r="Q85" s="8"/>
      <c r="R85" s="12"/>
      <c r="S85" s="8"/>
      <c r="T85" s="8"/>
      <c r="U85" s="8"/>
      <c r="V85" s="8"/>
      <c r="W85" s="8"/>
      <c r="X85" s="8"/>
      <c r="Y85" s="13">
        <v>45583</v>
      </c>
      <c r="Z85" s="8" t="s">
        <v>228</v>
      </c>
      <c r="AA85" s="14" t="s">
        <v>525</v>
      </c>
      <c r="AB85" s="15" t="s">
        <v>526</v>
      </c>
      <c r="AD85" t="str">
        <f t="shared" si="1"/>
        <v/>
      </c>
    </row>
    <row r="86" spans="1:30" ht="13" customHeight="1" x14ac:dyDescent="0.35">
      <c r="A86" s="7" t="s">
        <v>32</v>
      </c>
      <c r="B86" s="8" t="s">
        <v>33</v>
      </c>
      <c r="C86" s="8"/>
      <c r="E86" s="8" t="s">
        <v>527</v>
      </c>
      <c r="F86" s="9" t="s">
        <v>35</v>
      </c>
      <c r="G86" s="8" t="s">
        <v>36</v>
      </c>
      <c r="H86" s="10" t="s">
        <v>37</v>
      </c>
      <c r="I86" s="8" t="s">
        <v>528</v>
      </c>
      <c r="J86" s="8" t="s">
        <v>45</v>
      </c>
      <c r="K86" s="8" t="s">
        <v>40</v>
      </c>
      <c r="L86" s="10"/>
      <c r="M86" s="10"/>
      <c r="N86" s="10"/>
      <c r="O86" s="11"/>
      <c r="Q86" s="8"/>
      <c r="R86" s="12"/>
      <c r="S86" s="8"/>
      <c r="T86" s="8"/>
      <c r="U86" s="8"/>
      <c r="V86" s="8"/>
      <c r="W86" s="8"/>
      <c r="X86" s="8"/>
      <c r="Y86" s="13">
        <v>45583</v>
      </c>
      <c r="AA86" s="14" t="s">
        <v>529</v>
      </c>
      <c r="AB86" s="15" t="s">
        <v>530</v>
      </c>
      <c r="AD86" t="str">
        <f t="shared" si="1"/>
        <v/>
      </c>
    </row>
    <row r="87" spans="1:30" ht="13" customHeight="1" x14ac:dyDescent="0.35">
      <c r="A87" s="7" t="s">
        <v>32</v>
      </c>
      <c r="B87" s="8" t="s">
        <v>33</v>
      </c>
      <c r="C87" s="8"/>
      <c r="E87" s="8" t="s">
        <v>531</v>
      </c>
      <c r="F87" s="9" t="s">
        <v>35</v>
      </c>
      <c r="G87" s="8" t="s">
        <v>36</v>
      </c>
      <c r="H87" s="10" t="s">
        <v>37</v>
      </c>
      <c r="I87" s="8" t="s">
        <v>532</v>
      </c>
      <c r="J87" s="8" t="s">
        <v>45</v>
      </c>
      <c r="K87" s="8" t="s">
        <v>40</v>
      </c>
      <c r="L87" s="10"/>
      <c r="M87" s="10"/>
      <c r="N87" s="10"/>
      <c r="O87" s="11"/>
      <c r="Q87" s="8"/>
      <c r="R87" s="12"/>
      <c r="S87" s="8"/>
      <c r="T87" s="8"/>
      <c r="U87" s="8"/>
      <c r="V87" s="8"/>
      <c r="W87" s="8"/>
      <c r="X87" s="8"/>
      <c r="Y87" s="13">
        <v>45583</v>
      </c>
      <c r="AA87" s="14" t="s">
        <v>533</v>
      </c>
      <c r="AB87" s="15" t="s">
        <v>534</v>
      </c>
      <c r="AD87" t="str">
        <f t="shared" si="1"/>
        <v/>
      </c>
    </row>
    <row r="88" spans="1:30" ht="13" customHeight="1" x14ac:dyDescent="0.35">
      <c r="A88" s="7" t="s">
        <v>32</v>
      </c>
      <c r="B88" s="8" t="s">
        <v>70</v>
      </c>
      <c r="C88" s="8"/>
      <c r="D88" s="8" t="s">
        <v>120</v>
      </c>
      <c r="E88" s="9" t="s">
        <v>535</v>
      </c>
      <c r="F88" s="9" t="s">
        <v>235</v>
      </c>
      <c r="G88" s="8" t="s">
        <v>52</v>
      </c>
      <c r="I88" s="8" t="s">
        <v>536</v>
      </c>
      <c r="J88" s="9" t="s">
        <v>123</v>
      </c>
      <c r="K88" s="9" t="s">
        <v>132</v>
      </c>
      <c r="L88" s="53" t="s">
        <v>537</v>
      </c>
      <c r="M88" s="10" t="s">
        <v>181</v>
      </c>
      <c r="N88" s="10"/>
      <c r="O88" s="11" t="s">
        <v>538</v>
      </c>
      <c r="P88" s="9" t="s">
        <v>66</v>
      </c>
      <c r="Q88" s="9" t="s">
        <v>67</v>
      </c>
      <c r="R88" s="46" t="s">
        <v>118</v>
      </c>
      <c r="S88" s="8"/>
      <c r="T88" s="8"/>
      <c r="U88" s="8"/>
      <c r="V88" s="8"/>
      <c r="W88" s="8"/>
      <c r="X88" s="8"/>
      <c r="Y88" s="8"/>
      <c r="AA88" s="14" t="s">
        <v>539</v>
      </c>
      <c r="AD88">
        <f t="shared" si="1"/>
        <v>1</v>
      </c>
    </row>
    <row r="89" spans="1:30" ht="13" customHeight="1" x14ac:dyDescent="0.35">
      <c r="A89" s="7" t="s">
        <v>32</v>
      </c>
      <c r="B89" s="8" t="s">
        <v>33</v>
      </c>
      <c r="C89" s="8"/>
      <c r="E89" s="8" t="s">
        <v>540</v>
      </c>
      <c r="F89" s="9" t="s">
        <v>35</v>
      </c>
      <c r="G89" s="8" t="s">
        <v>36</v>
      </c>
      <c r="H89" s="10" t="s">
        <v>37</v>
      </c>
      <c r="I89" s="8" t="s">
        <v>541</v>
      </c>
      <c r="J89" s="8" t="s">
        <v>542</v>
      </c>
      <c r="K89" s="8" t="s">
        <v>40</v>
      </c>
      <c r="L89" s="10"/>
      <c r="M89" s="10"/>
      <c r="N89" s="10"/>
      <c r="O89" s="11" t="s">
        <v>543</v>
      </c>
      <c r="Q89" s="8"/>
      <c r="R89" s="12"/>
      <c r="S89" s="8"/>
      <c r="T89" s="8"/>
      <c r="U89" s="8"/>
      <c r="V89" s="8"/>
      <c r="W89" s="8"/>
      <c r="X89" s="8"/>
      <c r="Y89" s="13">
        <v>45583</v>
      </c>
      <c r="AA89" s="14" t="s">
        <v>544</v>
      </c>
      <c r="AB89" s="15" t="s">
        <v>545</v>
      </c>
      <c r="AD89" t="str">
        <f t="shared" si="1"/>
        <v/>
      </c>
    </row>
    <row r="90" spans="1:30" ht="13" customHeight="1" x14ac:dyDescent="0.35">
      <c r="A90" s="7" t="s">
        <v>69</v>
      </c>
      <c r="B90" s="8" t="s">
        <v>70</v>
      </c>
      <c r="C90" s="8"/>
      <c r="D90" s="8" t="s">
        <v>546</v>
      </c>
      <c r="E90" s="24" t="s">
        <v>547</v>
      </c>
      <c r="F90" s="9" t="s">
        <v>548</v>
      </c>
      <c r="I90" s="25" t="s">
        <v>549</v>
      </c>
      <c r="J90" s="24" t="s">
        <v>550</v>
      </c>
      <c r="K90" s="24"/>
      <c r="L90" s="27" t="s">
        <v>551</v>
      </c>
      <c r="M90" s="27" t="s">
        <v>552</v>
      </c>
      <c r="N90" s="27" t="s">
        <v>553</v>
      </c>
      <c r="O90" s="11" t="s">
        <v>554</v>
      </c>
      <c r="P90" s="24" t="s">
        <v>66</v>
      </c>
      <c r="Q90" s="76" t="s">
        <v>555</v>
      </c>
      <c r="R90" s="28" t="s">
        <v>78</v>
      </c>
      <c r="S90" s="25" t="s">
        <v>556</v>
      </c>
      <c r="T90" s="24" t="s">
        <v>557</v>
      </c>
      <c r="U90" s="24" t="s">
        <v>558</v>
      </c>
      <c r="V90" s="24"/>
      <c r="W90" s="24"/>
      <c r="X90" s="24"/>
      <c r="Y90" s="8"/>
      <c r="Z90" s="8" t="s">
        <v>228</v>
      </c>
      <c r="AA90" s="14" t="s">
        <v>559</v>
      </c>
      <c r="AB90" s="12" t="s">
        <v>560</v>
      </c>
      <c r="AD90">
        <f t="shared" si="1"/>
        <v>1</v>
      </c>
    </row>
    <row r="91" spans="1:30" ht="13" customHeight="1" x14ac:dyDescent="0.35">
      <c r="A91" s="7" t="s">
        <v>69</v>
      </c>
      <c r="B91" s="8" t="s">
        <v>48</v>
      </c>
      <c r="C91" s="8"/>
      <c r="D91" s="8" t="s">
        <v>561</v>
      </c>
      <c r="E91" s="29" t="s">
        <v>562</v>
      </c>
      <c r="F91" s="9" t="s">
        <v>548</v>
      </c>
      <c r="I91" s="30" t="s">
        <v>563</v>
      </c>
      <c r="J91" s="8" t="s">
        <v>564</v>
      </c>
      <c r="L91" s="77" t="s">
        <v>565</v>
      </c>
      <c r="M91" s="77" t="s">
        <v>552</v>
      </c>
      <c r="N91" s="77" t="s">
        <v>566</v>
      </c>
      <c r="O91" s="31" t="s">
        <v>567</v>
      </c>
      <c r="R91" s="32" t="s">
        <v>88</v>
      </c>
      <c r="S91" s="33" t="s">
        <v>568</v>
      </c>
      <c r="T91" s="29" t="s">
        <v>569</v>
      </c>
      <c r="U91" s="29" t="s">
        <v>570</v>
      </c>
      <c r="V91" s="33" t="s">
        <v>571</v>
      </c>
      <c r="W91" s="29" t="s">
        <v>572</v>
      </c>
      <c r="X91" s="29" t="s">
        <v>573</v>
      </c>
      <c r="Y91" s="8"/>
      <c r="AA91" s="14" t="s">
        <v>574</v>
      </c>
      <c r="AB91" s="12" t="s">
        <v>560</v>
      </c>
      <c r="AD91">
        <f t="shared" si="1"/>
        <v>1</v>
      </c>
    </row>
    <row r="92" spans="1:30" ht="13" customHeight="1" x14ac:dyDescent="0.35">
      <c r="A92" s="7" t="s">
        <v>32</v>
      </c>
      <c r="B92" s="8" t="s">
        <v>33</v>
      </c>
      <c r="C92" s="8"/>
      <c r="E92" s="8" t="s">
        <v>575</v>
      </c>
      <c r="F92" s="8" t="s">
        <v>35</v>
      </c>
      <c r="G92" s="8" t="s">
        <v>336</v>
      </c>
      <c r="H92" s="10" t="s">
        <v>193</v>
      </c>
      <c r="I92" s="8" t="s">
        <v>576</v>
      </c>
      <c r="J92" s="8" t="s">
        <v>432</v>
      </c>
      <c r="K92" s="8" t="s">
        <v>40</v>
      </c>
      <c r="L92" s="78" t="s">
        <v>577</v>
      </c>
      <c r="M92" s="57" t="s">
        <v>578</v>
      </c>
      <c r="N92" s="10" t="s">
        <v>579</v>
      </c>
      <c r="O92" s="11" t="s">
        <v>580</v>
      </c>
      <c r="Q92" s="8"/>
      <c r="R92" s="12"/>
      <c r="S92" s="8"/>
      <c r="T92" s="8"/>
      <c r="U92" s="8"/>
      <c r="V92" s="8"/>
      <c r="W92" s="8"/>
      <c r="X92" s="8"/>
      <c r="Y92" s="13">
        <v>45583</v>
      </c>
      <c r="Z92" s="8" t="s">
        <v>228</v>
      </c>
      <c r="AA92" s="14" t="s">
        <v>581</v>
      </c>
      <c r="AB92" s="15" t="s">
        <v>582</v>
      </c>
      <c r="AD92">
        <f t="shared" si="1"/>
        <v>2</v>
      </c>
    </row>
    <row r="93" spans="1:30" ht="13" customHeight="1" x14ac:dyDescent="0.35">
      <c r="A93" s="7" t="s">
        <v>32</v>
      </c>
      <c r="B93" s="8" t="s">
        <v>33</v>
      </c>
      <c r="C93" s="8"/>
      <c r="E93" s="8" t="s">
        <v>583</v>
      </c>
      <c r="F93" s="9" t="s">
        <v>35</v>
      </c>
      <c r="G93" s="8" t="s">
        <v>36</v>
      </c>
      <c r="H93" s="10" t="s">
        <v>440</v>
      </c>
      <c r="I93" s="8" t="s">
        <v>584</v>
      </c>
      <c r="J93" s="8" t="s">
        <v>584</v>
      </c>
      <c r="K93" s="8" t="s">
        <v>160</v>
      </c>
      <c r="L93" s="62" t="s">
        <v>585</v>
      </c>
      <c r="M93" s="10" t="s">
        <v>586</v>
      </c>
      <c r="N93" s="10"/>
      <c r="O93" s="55" t="s">
        <v>587</v>
      </c>
      <c r="Q93" s="8"/>
      <c r="R93" s="12"/>
      <c r="S93" s="8"/>
      <c r="T93" s="8"/>
      <c r="U93" s="8"/>
      <c r="V93" s="8"/>
      <c r="W93" s="8"/>
      <c r="X93" s="8"/>
      <c r="Y93" s="13">
        <v>45616</v>
      </c>
      <c r="Z93" s="8" t="s">
        <v>228</v>
      </c>
      <c r="AA93" s="14" t="s">
        <v>588</v>
      </c>
      <c r="AB93" s="15" t="s">
        <v>589</v>
      </c>
      <c r="AD93">
        <f t="shared" si="1"/>
        <v>1</v>
      </c>
    </row>
    <row r="94" spans="1:30" ht="13" customHeight="1" x14ac:dyDescent="0.35">
      <c r="A94" s="7" t="s">
        <v>32</v>
      </c>
      <c r="B94" s="8" t="s">
        <v>33</v>
      </c>
      <c r="C94" s="8"/>
      <c r="E94" s="8" t="s">
        <v>590</v>
      </c>
      <c r="F94" s="9" t="s">
        <v>35</v>
      </c>
      <c r="G94" s="8" t="s">
        <v>36</v>
      </c>
      <c r="H94" s="10" t="s">
        <v>591</v>
      </c>
      <c r="I94" s="8" t="s">
        <v>592</v>
      </c>
      <c r="J94" s="8" t="s">
        <v>593</v>
      </c>
      <c r="K94" s="8" t="s">
        <v>40</v>
      </c>
      <c r="L94" s="79" t="s">
        <v>594</v>
      </c>
      <c r="M94" s="57" t="s">
        <v>595</v>
      </c>
      <c r="N94" s="11"/>
      <c r="O94" s="11" t="s">
        <v>596</v>
      </c>
      <c r="Q94" s="8"/>
      <c r="R94" s="12"/>
      <c r="S94" s="8"/>
      <c r="T94" s="8"/>
      <c r="U94" s="8"/>
      <c r="V94" s="8"/>
      <c r="W94" s="8"/>
      <c r="X94" s="8"/>
      <c r="Y94" s="13">
        <v>45558</v>
      </c>
      <c r="Z94" s="8" t="s">
        <v>228</v>
      </c>
      <c r="AA94" s="14" t="s">
        <v>597</v>
      </c>
      <c r="AB94" s="15" t="s">
        <v>598</v>
      </c>
      <c r="AD94">
        <f t="shared" si="1"/>
        <v>3</v>
      </c>
    </row>
    <row r="95" spans="1:30" ht="13" customHeight="1" x14ac:dyDescent="0.35">
      <c r="A95" s="7" t="s">
        <v>32</v>
      </c>
      <c r="B95" s="8" t="s">
        <v>33</v>
      </c>
      <c r="C95" s="8"/>
      <c r="E95" s="8" t="s">
        <v>590</v>
      </c>
      <c r="F95" s="9" t="s">
        <v>35</v>
      </c>
      <c r="G95" s="8" t="s">
        <v>36</v>
      </c>
      <c r="H95" s="10" t="s">
        <v>591</v>
      </c>
      <c r="I95" s="8" t="s">
        <v>593</v>
      </c>
      <c r="J95" s="8" t="s">
        <v>592</v>
      </c>
      <c r="K95" s="8" t="s">
        <v>599</v>
      </c>
      <c r="L95" s="79" t="s">
        <v>594</v>
      </c>
      <c r="M95" s="57" t="s">
        <v>595</v>
      </c>
      <c r="N95" s="11"/>
      <c r="O95" s="11" t="s">
        <v>596</v>
      </c>
      <c r="Q95" s="8"/>
      <c r="R95" s="12"/>
      <c r="S95" s="8"/>
      <c r="T95" s="8"/>
      <c r="U95" s="8"/>
      <c r="V95" s="8"/>
      <c r="W95" s="8"/>
      <c r="X95" s="8"/>
      <c r="Y95" s="13">
        <v>45558</v>
      </c>
      <c r="Z95" s="8" t="s">
        <v>228</v>
      </c>
      <c r="AA95" s="14" t="s">
        <v>600</v>
      </c>
      <c r="AB95" s="15" t="s">
        <v>601</v>
      </c>
      <c r="AD95">
        <f t="shared" si="1"/>
        <v>3</v>
      </c>
    </row>
    <row r="96" spans="1:30" ht="13" customHeight="1" x14ac:dyDescent="0.35">
      <c r="A96" s="7" t="s">
        <v>32</v>
      </c>
      <c r="B96" s="8" t="s">
        <v>33</v>
      </c>
      <c r="C96" s="8"/>
      <c r="E96" s="49" t="s">
        <v>602</v>
      </c>
      <c r="F96" s="9" t="s">
        <v>35</v>
      </c>
      <c r="G96" s="8" t="s">
        <v>36</v>
      </c>
      <c r="H96" s="10" t="s">
        <v>223</v>
      </c>
      <c r="I96" s="38" t="s">
        <v>603</v>
      </c>
      <c r="J96" s="38" t="s">
        <v>603</v>
      </c>
      <c r="K96" s="8" t="s">
        <v>160</v>
      </c>
      <c r="L96" s="41" t="s">
        <v>604</v>
      </c>
      <c r="M96" s="41" t="s">
        <v>595</v>
      </c>
      <c r="N96" s="41"/>
      <c r="O96" s="50" t="s">
        <v>596</v>
      </c>
      <c r="P96" s="38"/>
      <c r="Q96" s="49"/>
      <c r="R96" s="51"/>
      <c r="S96" s="8"/>
      <c r="T96" s="8"/>
      <c r="X96" s="8"/>
      <c r="Y96" s="13">
        <v>45558</v>
      </c>
      <c r="Z96" s="8" t="s">
        <v>228</v>
      </c>
      <c r="AA96" s="14" t="s">
        <v>605</v>
      </c>
      <c r="AB96" s="15" t="s">
        <v>606</v>
      </c>
      <c r="AD96">
        <f t="shared" si="1"/>
        <v>3</v>
      </c>
    </row>
    <row r="97" spans="1:30" ht="13" customHeight="1" x14ac:dyDescent="0.35">
      <c r="A97" s="7" t="s">
        <v>32</v>
      </c>
      <c r="B97" s="8" t="s">
        <v>70</v>
      </c>
      <c r="C97" s="8"/>
      <c r="D97" s="8" t="s">
        <v>120</v>
      </c>
      <c r="E97" s="47" t="s">
        <v>607</v>
      </c>
      <c r="F97" s="9" t="s">
        <v>35</v>
      </c>
      <c r="G97" s="8" t="s">
        <v>52</v>
      </c>
      <c r="I97" s="8" t="s">
        <v>608</v>
      </c>
      <c r="J97" s="9" t="s">
        <v>123</v>
      </c>
      <c r="K97" s="9" t="s">
        <v>55</v>
      </c>
      <c r="L97" s="10"/>
      <c r="M97" s="10"/>
      <c r="N97" s="10"/>
      <c r="O97" s="11"/>
      <c r="P97" s="16"/>
      <c r="Q97" s="9"/>
      <c r="R97" s="46"/>
      <c r="S97" s="8"/>
      <c r="T97" s="8"/>
      <c r="U97" s="8"/>
      <c r="V97" s="8"/>
      <c r="W97" s="8"/>
      <c r="X97" s="8"/>
      <c r="Y97" s="8"/>
      <c r="AA97" s="14" t="s">
        <v>609</v>
      </c>
      <c r="AD97" t="str">
        <f t="shared" si="1"/>
        <v/>
      </c>
    </row>
    <row r="98" spans="1:30" ht="13" customHeight="1" x14ac:dyDescent="0.35">
      <c r="A98" s="7" t="s">
        <v>32</v>
      </c>
      <c r="B98" s="8" t="s">
        <v>33</v>
      </c>
      <c r="C98" s="8"/>
      <c r="E98" s="8" t="s">
        <v>610</v>
      </c>
      <c r="F98" s="9" t="s">
        <v>35</v>
      </c>
      <c r="G98" s="8" t="s">
        <v>36</v>
      </c>
      <c r="H98" s="10" t="s">
        <v>37</v>
      </c>
      <c r="I98" s="8" t="s">
        <v>611</v>
      </c>
      <c r="J98" s="8" t="s">
        <v>611</v>
      </c>
      <c r="K98" s="8" t="s">
        <v>40</v>
      </c>
      <c r="L98" s="10"/>
      <c r="M98" s="10"/>
      <c r="N98" s="10"/>
      <c r="O98" s="11"/>
      <c r="Q98" s="8"/>
      <c r="R98" s="12"/>
      <c r="S98" s="8"/>
      <c r="T98" s="8"/>
      <c r="U98" s="8"/>
      <c r="V98" s="8"/>
      <c r="W98" s="8"/>
      <c r="X98" s="8"/>
      <c r="Y98" s="13">
        <v>45583</v>
      </c>
      <c r="AA98" s="14" t="s">
        <v>612</v>
      </c>
      <c r="AB98" s="15" t="s">
        <v>613</v>
      </c>
      <c r="AD98" t="str">
        <f t="shared" si="1"/>
        <v/>
      </c>
    </row>
    <row r="99" spans="1:30" ht="13" customHeight="1" x14ac:dyDescent="0.35">
      <c r="A99" s="7" t="s">
        <v>32</v>
      </c>
      <c r="B99" s="8" t="s">
        <v>33</v>
      </c>
      <c r="C99" s="8"/>
      <c r="E99" s="8" t="s">
        <v>614</v>
      </c>
      <c r="F99" s="9" t="s">
        <v>35</v>
      </c>
      <c r="G99" s="8" t="s">
        <v>36</v>
      </c>
      <c r="H99" s="10" t="s">
        <v>37</v>
      </c>
      <c r="I99" s="8" t="s">
        <v>615</v>
      </c>
      <c r="J99" s="8" t="s">
        <v>615</v>
      </c>
      <c r="K99" s="8" t="s">
        <v>40</v>
      </c>
      <c r="L99" s="10"/>
      <c r="M99" s="10"/>
      <c r="N99" s="10"/>
      <c r="O99" s="11"/>
      <c r="Q99" s="8"/>
      <c r="R99" s="12"/>
      <c r="S99" s="8"/>
      <c r="T99" s="8"/>
      <c r="U99" s="8"/>
      <c r="V99" s="8"/>
      <c r="W99" s="8"/>
      <c r="X99" s="8"/>
      <c r="Y99" s="13">
        <v>45583</v>
      </c>
      <c r="AA99" s="14" t="s">
        <v>616</v>
      </c>
      <c r="AB99" s="15" t="s">
        <v>617</v>
      </c>
      <c r="AD99" t="str">
        <f t="shared" si="1"/>
        <v/>
      </c>
    </row>
    <row r="100" spans="1:30" ht="13" customHeight="1" x14ac:dyDescent="0.35">
      <c r="A100" s="7" t="s">
        <v>32</v>
      </c>
      <c r="B100" s="8" t="s">
        <v>70</v>
      </c>
      <c r="C100" s="8"/>
      <c r="D100" s="8" t="s">
        <v>101</v>
      </c>
      <c r="E100" s="8" t="s">
        <v>618</v>
      </c>
      <c r="F100" s="9" t="s">
        <v>35</v>
      </c>
      <c r="G100" s="8" t="s">
        <v>52</v>
      </c>
      <c r="I100" s="8" t="s">
        <v>619</v>
      </c>
      <c r="J100" s="8" t="s">
        <v>106</v>
      </c>
      <c r="K100" s="8" t="s">
        <v>132</v>
      </c>
      <c r="L100" s="10"/>
      <c r="M100" s="10"/>
      <c r="N100" s="10"/>
      <c r="O100" s="11"/>
      <c r="Q100" s="8"/>
      <c r="R100" s="12"/>
      <c r="S100" s="8"/>
      <c r="T100" s="8"/>
      <c r="U100" s="8"/>
      <c r="V100" s="8"/>
      <c r="W100" s="8"/>
      <c r="X100" s="8"/>
      <c r="Y100" s="8"/>
      <c r="AA100" s="14" t="s">
        <v>620</v>
      </c>
      <c r="AB100" s="12" t="s">
        <v>274</v>
      </c>
      <c r="AD100" t="str">
        <f t="shared" si="1"/>
        <v/>
      </c>
    </row>
    <row r="101" spans="1:30" ht="13" customHeight="1" x14ac:dyDescent="0.35">
      <c r="A101" s="7" t="s">
        <v>32</v>
      </c>
      <c r="B101" s="8" t="s">
        <v>48</v>
      </c>
      <c r="C101" s="8"/>
      <c r="D101" s="8" t="s">
        <v>172</v>
      </c>
      <c r="E101" s="8" t="s">
        <v>621</v>
      </c>
      <c r="F101" s="9" t="s">
        <v>51</v>
      </c>
      <c r="G101" s="8" t="s">
        <v>622</v>
      </c>
      <c r="I101" s="8" t="s">
        <v>623</v>
      </c>
      <c r="J101" s="8" t="s">
        <v>176</v>
      </c>
      <c r="K101" s="8" t="s">
        <v>55</v>
      </c>
      <c r="L101" s="35" t="s">
        <v>624</v>
      </c>
      <c r="M101" s="10"/>
      <c r="N101" s="10"/>
      <c r="O101" s="80" t="s">
        <v>625</v>
      </c>
      <c r="P101" s="8" t="s">
        <v>66</v>
      </c>
      <c r="Q101" s="8" t="s">
        <v>67</v>
      </c>
      <c r="R101" s="12" t="s">
        <v>626</v>
      </c>
      <c r="S101" s="8"/>
      <c r="T101" s="8"/>
      <c r="U101" s="8"/>
      <c r="V101" s="8"/>
      <c r="W101" s="8"/>
      <c r="X101" s="8"/>
      <c r="Y101" s="8"/>
      <c r="AA101" s="14" t="s">
        <v>627</v>
      </c>
      <c r="AD101" t="str">
        <f t="shared" si="1"/>
        <v/>
      </c>
    </row>
    <row r="102" spans="1:30" ht="13" customHeight="1" x14ac:dyDescent="0.35">
      <c r="A102" s="7" t="s">
        <v>32</v>
      </c>
      <c r="B102" s="8" t="s">
        <v>33</v>
      </c>
      <c r="C102" s="8"/>
      <c r="E102" s="8" t="s">
        <v>628</v>
      </c>
      <c r="F102" s="9" t="s">
        <v>35</v>
      </c>
      <c r="G102" s="8" t="s">
        <v>36</v>
      </c>
      <c r="H102" s="10" t="s">
        <v>37</v>
      </c>
      <c r="I102" s="8" t="s">
        <v>629</v>
      </c>
      <c r="J102" s="8" t="s">
        <v>45</v>
      </c>
      <c r="K102" s="8" t="s">
        <v>40</v>
      </c>
      <c r="L102" s="10"/>
      <c r="M102" s="10"/>
      <c r="N102" s="10"/>
      <c r="O102" s="11"/>
      <c r="Q102" s="8"/>
      <c r="R102" s="12"/>
      <c r="S102" s="8"/>
      <c r="T102" s="8"/>
      <c r="U102" s="8"/>
      <c r="V102" s="8"/>
      <c r="W102" s="8"/>
      <c r="X102" s="8"/>
      <c r="Y102" s="13">
        <v>45583</v>
      </c>
      <c r="Z102" s="8" t="s">
        <v>228</v>
      </c>
      <c r="AA102" s="14" t="s">
        <v>630</v>
      </c>
      <c r="AB102" s="15" t="s">
        <v>631</v>
      </c>
      <c r="AD102" t="str">
        <f t="shared" si="1"/>
        <v/>
      </c>
    </row>
    <row r="103" spans="1:30" ht="13" customHeight="1" x14ac:dyDescent="0.35">
      <c r="A103" s="7" t="s">
        <v>32</v>
      </c>
      <c r="B103" s="8" t="s">
        <v>33</v>
      </c>
      <c r="C103" s="8"/>
      <c r="E103" s="8" t="s">
        <v>632</v>
      </c>
      <c r="F103" s="8" t="s">
        <v>35</v>
      </c>
      <c r="G103" s="8" t="s">
        <v>36</v>
      </c>
      <c r="H103" s="10" t="s">
        <v>193</v>
      </c>
      <c r="I103" s="8" t="s">
        <v>633</v>
      </c>
      <c r="J103" s="8" t="s">
        <v>45</v>
      </c>
      <c r="K103" s="8" t="s">
        <v>40</v>
      </c>
      <c r="L103" s="79" t="s">
        <v>634</v>
      </c>
      <c r="M103" s="57" t="s">
        <v>635</v>
      </c>
      <c r="N103" s="11" t="s">
        <v>636</v>
      </c>
      <c r="O103" s="11"/>
      <c r="Q103" s="8"/>
      <c r="R103" s="12"/>
      <c r="S103" s="8"/>
      <c r="T103" s="8"/>
      <c r="U103" s="8"/>
      <c r="V103" s="8"/>
      <c r="W103" s="8"/>
      <c r="X103" s="8"/>
      <c r="Y103" s="13">
        <v>45583</v>
      </c>
      <c r="AA103" s="14" t="s">
        <v>637</v>
      </c>
      <c r="AB103" s="15" t="s">
        <v>638</v>
      </c>
      <c r="AD103">
        <f t="shared" si="1"/>
        <v>2</v>
      </c>
    </row>
    <row r="104" spans="1:30" ht="13" customHeight="1" x14ac:dyDescent="0.35">
      <c r="A104" s="7" t="s">
        <v>32</v>
      </c>
      <c r="B104" s="8" t="s">
        <v>48</v>
      </c>
      <c r="C104" s="8"/>
      <c r="D104" s="8" t="s">
        <v>49</v>
      </c>
      <c r="E104" s="16" t="s">
        <v>639</v>
      </c>
      <c r="F104" s="9" t="s">
        <v>51</v>
      </c>
      <c r="G104" s="8" t="s">
        <v>421</v>
      </c>
      <c r="I104" s="16" t="s">
        <v>640</v>
      </c>
      <c r="J104" s="16" t="s">
        <v>54</v>
      </c>
      <c r="K104" s="8" t="s">
        <v>55</v>
      </c>
      <c r="L104" s="81" t="s">
        <v>641</v>
      </c>
      <c r="M104" s="18"/>
      <c r="N104" s="18"/>
      <c r="O104" s="19" t="s">
        <v>642</v>
      </c>
      <c r="P104" s="16" t="s">
        <v>66</v>
      </c>
      <c r="Q104" s="16" t="s">
        <v>67</v>
      </c>
      <c r="R104" s="20" t="s">
        <v>118</v>
      </c>
      <c r="S104" s="8"/>
      <c r="T104" s="8"/>
      <c r="U104" s="8"/>
      <c r="V104" s="8"/>
      <c r="W104" s="8"/>
      <c r="X104" s="8"/>
      <c r="Y104" s="8"/>
      <c r="AA104" s="14" t="s">
        <v>643</v>
      </c>
      <c r="AD104" t="str">
        <f t="shared" si="1"/>
        <v/>
      </c>
    </row>
    <row r="105" spans="1:30" ht="13" customHeight="1" x14ac:dyDescent="0.35">
      <c r="A105" s="7" t="s">
        <v>32</v>
      </c>
      <c r="B105" s="8" t="s">
        <v>33</v>
      </c>
      <c r="C105" s="8"/>
      <c r="E105" s="8" t="s">
        <v>644</v>
      </c>
      <c r="F105" s="9" t="s">
        <v>35</v>
      </c>
      <c r="G105" s="8" t="s">
        <v>36</v>
      </c>
      <c r="H105" s="10" t="s">
        <v>37</v>
      </c>
      <c r="I105" s="8" t="s">
        <v>645</v>
      </c>
      <c r="J105" s="8" t="s">
        <v>195</v>
      </c>
      <c r="K105" s="8" t="s">
        <v>40</v>
      </c>
      <c r="L105" s="10"/>
      <c r="M105" s="10"/>
      <c r="N105" s="10"/>
      <c r="O105" s="11"/>
      <c r="Q105" s="8"/>
      <c r="R105" s="12"/>
      <c r="S105" s="8"/>
      <c r="T105" s="8"/>
      <c r="U105" s="8"/>
      <c r="V105" s="8"/>
      <c r="W105" s="8"/>
      <c r="X105" s="8"/>
      <c r="Y105" s="13">
        <v>45583</v>
      </c>
      <c r="AA105" s="14" t="s">
        <v>646</v>
      </c>
      <c r="AB105" s="15" t="s">
        <v>647</v>
      </c>
      <c r="AD105" t="str">
        <f t="shared" si="1"/>
        <v/>
      </c>
    </row>
    <row r="106" spans="1:30" ht="13" customHeight="1" x14ac:dyDescent="0.35">
      <c r="A106" s="7" t="s">
        <v>32</v>
      </c>
      <c r="B106" s="8" t="s">
        <v>33</v>
      </c>
      <c r="C106" s="8"/>
      <c r="E106" s="8" t="s">
        <v>648</v>
      </c>
      <c r="F106" s="9" t="s">
        <v>35</v>
      </c>
      <c r="G106" s="8" t="s">
        <v>36</v>
      </c>
      <c r="H106" s="10" t="s">
        <v>37</v>
      </c>
      <c r="I106" s="8" t="s">
        <v>649</v>
      </c>
      <c r="J106" s="8" t="s">
        <v>45</v>
      </c>
      <c r="K106" s="8" t="s">
        <v>40</v>
      </c>
      <c r="L106" s="10"/>
      <c r="M106" s="10"/>
      <c r="N106" s="10"/>
      <c r="O106" s="11"/>
      <c r="Q106" s="8"/>
      <c r="R106" s="12"/>
      <c r="S106" s="8"/>
      <c r="T106" s="8"/>
      <c r="U106" s="8"/>
      <c r="V106" s="8"/>
      <c r="W106" s="8"/>
      <c r="X106" s="8"/>
      <c r="Y106" s="13">
        <v>45583</v>
      </c>
      <c r="AA106" s="14" t="s">
        <v>650</v>
      </c>
      <c r="AB106" s="15" t="s">
        <v>651</v>
      </c>
      <c r="AD106" t="str">
        <f t="shared" si="1"/>
        <v/>
      </c>
    </row>
    <row r="107" spans="1:30" ht="13" customHeight="1" x14ac:dyDescent="0.35">
      <c r="A107" s="7" t="s">
        <v>32</v>
      </c>
      <c r="B107" s="8" t="s">
        <v>33</v>
      </c>
      <c r="C107" s="8"/>
      <c r="E107" s="8" t="s">
        <v>652</v>
      </c>
      <c r="F107" s="9" t="s">
        <v>35</v>
      </c>
      <c r="G107" s="8" t="s">
        <v>36</v>
      </c>
      <c r="H107" s="10" t="s">
        <v>37</v>
      </c>
      <c r="I107" s="8" t="s">
        <v>653</v>
      </c>
      <c r="J107" s="8" t="s">
        <v>345</v>
      </c>
      <c r="K107" s="8" t="s">
        <v>40</v>
      </c>
      <c r="L107" s="10"/>
      <c r="M107" s="10"/>
      <c r="N107" s="10"/>
      <c r="O107" s="11"/>
      <c r="Q107" s="8"/>
      <c r="R107" s="12"/>
      <c r="S107" s="8"/>
      <c r="T107" s="8"/>
      <c r="U107" s="8"/>
      <c r="V107" s="8"/>
      <c r="W107" s="8"/>
      <c r="X107" s="8"/>
      <c r="Y107" s="13">
        <v>45583</v>
      </c>
      <c r="AA107" s="14" t="s">
        <v>654</v>
      </c>
      <c r="AB107" s="15" t="s">
        <v>655</v>
      </c>
      <c r="AD107" t="str">
        <f t="shared" si="1"/>
        <v/>
      </c>
    </row>
    <row r="108" spans="1:30" ht="13" customHeight="1" x14ac:dyDescent="0.35">
      <c r="A108" s="7" t="s">
        <v>32</v>
      </c>
      <c r="B108" s="8" t="s">
        <v>33</v>
      </c>
      <c r="C108" s="8"/>
      <c r="E108" s="8" t="s">
        <v>652</v>
      </c>
      <c r="F108" s="9" t="s">
        <v>35</v>
      </c>
      <c r="G108" s="8" t="s">
        <v>36</v>
      </c>
      <c r="H108" s="10" t="s">
        <v>37</v>
      </c>
      <c r="I108" s="8" t="s">
        <v>656</v>
      </c>
      <c r="J108" s="8" t="s">
        <v>45</v>
      </c>
      <c r="K108" s="8" t="s">
        <v>40</v>
      </c>
      <c r="L108" s="10"/>
      <c r="M108" s="10"/>
      <c r="N108" s="10"/>
      <c r="O108" s="11"/>
      <c r="Q108" s="8"/>
      <c r="R108" s="12"/>
      <c r="S108" s="8"/>
      <c r="T108" s="8"/>
      <c r="U108" s="8"/>
      <c r="V108" s="8"/>
      <c r="W108" s="8"/>
      <c r="X108" s="8"/>
      <c r="Y108" s="13">
        <v>45583</v>
      </c>
      <c r="AA108" s="14" t="s">
        <v>657</v>
      </c>
      <c r="AB108" s="15" t="s">
        <v>658</v>
      </c>
      <c r="AD108" t="str">
        <f t="shared" si="1"/>
        <v/>
      </c>
    </row>
    <row r="109" spans="1:30" ht="13" customHeight="1" x14ac:dyDescent="0.35">
      <c r="A109" s="7" t="s">
        <v>32</v>
      </c>
      <c r="B109" s="8" t="s">
        <v>33</v>
      </c>
      <c r="C109" s="8"/>
      <c r="E109" s="8" t="s">
        <v>659</v>
      </c>
      <c r="F109" s="9" t="s">
        <v>35</v>
      </c>
      <c r="G109" s="8" t="s">
        <v>36</v>
      </c>
      <c r="H109" s="10" t="s">
        <v>37</v>
      </c>
      <c r="I109" s="8" t="s">
        <v>660</v>
      </c>
      <c r="J109" s="8" t="s">
        <v>345</v>
      </c>
      <c r="K109" s="8" t="s">
        <v>40</v>
      </c>
      <c r="L109" s="10"/>
      <c r="M109" s="10"/>
      <c r="N109" s="10"/>
      <c r="O109" s="11"/>
      <c r="Q109" s="8"/>
      <c r="R109" s="12"/>
      <c r="S109" s="8"/>
      <c r="T109" s="8"/>
      <c r="U109" s="8"/>
      <c r="V109" s="8"/>
      <c r="W109" s="8"/>
      <c r="X109" s="8"/>
      <c r="Y109" s="13">
        <v>45583</v>
      </c>
      <c r="AA109" s="14" t="s">
        <v>661</v>
      </c>
      <c r="AB109" s="15" t="s">
        <v>662</v>
      </c>
      <c r="AD109" t="str">
        <f t="shared" si="1"/>
        <v/>
      </c>
    </row>
    <row r="110" spans="1:30" ht="13" customHeight="1" x14ac:dyDescent="0.35">
      <c r="A110" s="7" t="s">
        <v>32</v>
      </c>
      <c r="B110" s="8" t="s">
        <v>33</v>
      </c>
      <c r="C110" s="8"/>
      <c r="E110" s="29" t="s">
        <v>663</v>
      </c>
      <c r="F110" s="9" t="s">
        <v>35</v>
      </c>
      <c r="G110" s="8" t="s">
        <v>336</v>
      </c>
      <c r="H110" s="10" t="s">
        <v>223</v>
      </c>
      <c r="I110" s="8" t="s">
        <v>664</v>
      </c>
      <c r="J110" s="8" t="s">
        <v>345</v>
      </c>
      <c r="K110" s="8" t="s">
        <v>160</v>
      </c>
      <c r="L110" s="11" t="s">
        <v>665</v>
      </c>
      <c r="M110" s="11" t="s">
        <v>666</v>
      </c>
      <c r="N110" s="11"/>
      <c r="O110" s="31" t="s">
        <v>667</v>
      </c>
      <c r="S110" s="8"/>
      <c r="T110" s="8"/>
      <c r="X110" s="8"/>
      <c r="Y110" s="13">
        <v>45604</v>
      </c>
      <c r="Z110" s="8" t="s">
        <v>668</v>
      </c>
      <c r="AA110" s="14" t="s">
        <v>669</v>
      </c>
      <c r="AB110" s="15" t="s">
        <v>670</v>
      </c>
      <c r="AD110">
        <f t="shared" si="1"/>
        <v>3</v>
      </c>
    </row>
    <row r="111" spans="1:30" ht="13" customHeight="1" x14ac:dyDescent="0.35">
      <c r="A111" s="7" t="s">
        <v>32</v>
      </c>
      <c r="B111" s="8" t="s">
        <v>70</v>
      </c>
      <c r="C111" s="8"/>
      <c r="D111" s="8" t="s">
        <v>120</v>
      </c>
      <c r="E111" s="34" t="s">
        <v>671</v>
      </c>
      <c r="F111" s="9" t="s">
        <v>103</v>
      </c>
      <c r="G111" s="34" t="s">
        <v>313</v>
      </c>
      <c r="H111" s="35"/>
      <c r="I111" s="34" t="s">
        <v>672</v>
      </c>
      <c r="J111" s="34" t="s">
        <v>123</v>
      </c>
      <c r="K111" s="34"/>
      <c r="L111" s="35" t="s">
        <v>673</v>
      </c>
      <c r="M111" s="35"/>
      <c r="N111" s="35"/>
      <c r="O111" s="36" t="s">
        <v>674</v>
      </c>
      <c r="P111" s="34" t="s">
        <v>66</v>
      </c>
      <c r="Q111" s="34" t="s">
        <v>67</v>
      </c>
      <c r="R111" s="34" t="s">
        <v>118</v>
      </c>
      <c r="S111" s="8"/>
      <c r="T111" s="8"/>
      <c r="U111" s="8"/>
      <c r="V111" s="8"/>
      <c r="W111" s="8"/>
      <c r="X111" s="8"/>
      <c r="Y111" s="8"/>
      <c r="AA111" s="14" t="s">
        <v>675</v>
      </c>
      <c r="AB111" s="12" t="s">
        <v>112</v>
      </c>
      <c r="AD111" t="str">
        <f t="shared" si="1"/>
        <v/>
      </c>
    </row>
    <row r="112" spans="1:30" ht="13" customHeight="1" x14ac:dyDescent="0.35">
      <c r="A112" s="7" t="s">
        <v>32</v>
      </c>
      <c r="B112" s="8" t="s">
        <v>70</v>
      </c>
      <c r="C112" s="8"/>
      <c r="D112" s="8" t="s">
        <v>120</v>
      </c>
      <c r="E112" s="9" t="s">
        <v>676</v>
      </c>
      <c r="F112" s="9" t="s">
        <v>103</v>
      </c>
      <c r="G112" s="8" t="s">
        <v>130</v>
      </c>
      <c r="I112" s="8" t="s">
        <v>677</v>
      </c>
      <c r="J112" s="9" t="s">
        <v>123</v>
      </c>
      <c r="K112" s="9" t="s">
        <v>55</v>
      </c>
      <c r="L112" s="53" t="s">
        <v>678</v>
      </c>
      <c r="M112" s="43" t="s">
        <v>181</v>
      </c>
      <c r="N112" s="43" t="s">
        <v>679</v>
      </c>
      <c r="O112" s="44" t="s">
        <v>680</v>
      </c>
      <c r="P112" s="9" t="s">
        <v>142</v>
      </c>
      <c r="Q112" s="82" t="s">
        <v>681</v>
      </c>
      <c r="R112" s="9" t="s">
        <v>118</v>
      </c>
      <c r="S112" s="8"/>
      <c r="T112" s="8"/>
      <c r="U112" s="8"/>
      <c r="V112" s="8"/>
      <c r="W112" s="8"/>
      <c r="X112" s="8"/>
      <c r="Y112" s="8"/>
      <c r="AA112" s="14" t="s">
        <v>682</v>
      </c>
      <c r="AB112" s="12" t="s">
        <v>683</v>
      </c>
      <c r="AD112">
        <f t="shared" si="1"/>
        <v>1</v>
      </c>
    </row>
    <row r="113" spans="1:30" ht="13" customHeight="1" x14ac:dyDescent="0.35">
      <c r="A113" s="7" t="s">
        <v>32</v>
      </c>
      <c r="B113" s="8" t="s">
        <v>33</v>
      </c>
      <c r="C113" s="8"/>
      <c r="E113" s="8" t="s">
        <v>684</v>
      </c>
      <c r="F113" s="9" t="s">
        <v>35</v>
      </c>
      <c r="G113" s="8" t="s">
        <v>36</v>
      </c>
      <c r="H113" s="10" t="s">
        <v>685</v>
      </c>
      <c r="I113" s="8" t="s">
        <v>686</v>
      </c>
      <c r="J113" s="8" t="s">
        <v>195</v>
      </c>
      <c r="K113" s="8" t="s">
        <v>40</v>
      </c>
      <c r="L113" s="62" t="s">
        <v>687</v>
      </c>
      <c r="M113" s="10" t="s">
        <v>688</v>
      </c>
      <c r="N113" s="10"/>
      <c r="O113" s="11" t="s">
        <v>689</v>
      </c>
      <c r="Q113" s="8"/>
      <c r="R113" s="8"/>
      <c r="S113" s="8"/>
      <c r="T113" s="8"/>
      <c r="U113" s="8"/>
      <c r="V113" s="8"/>
      <c r="W113" s="8"/>
      <c r="X113" s="8"/>
      <c r="Y113" s="13">
        <v>45583</v>
      </c>
      <c r="Z113" s="8" t="s">
        <v>228</v>
      </c>
      <c r="AA113" s="14" t="s">
        <v>690</v>
      </c>
      <c r="AB113" s="15" t="s">
        <v>691</v>
      </c>
      <c r="AD113">
        <f t="shared" si="1"/>
        <v>1</v>
      </c>
    </row>
    <row r="114" spans="1:30" ht="13" customHeight="1" x14ac:dyDescent="0.35">
      <c r="A114" s="7" t="s">
        <v>32</v>
      </c>
      <c r="B114" s="8" t="s">
        <v>33</v>
      </c>
      <c r="C114" s="8"/>
      <c r="E114" s="8" t="s">
        <v>692</v>
      </c>
      <c r="F114" s="9" t="s">
        <v>35</v>
      </c>
      <c r="G114" s="8" t="s">
        <v>36</v>
      </c>
      <c r="H114" s="10" t="s">
        <v>37</v>
      </c>
      <c r="I114" s="8" t="s">
        <v>693</v>
      </c>
      <c r="J114" s="8" t="s">
        <v>694</v>
      </c>
      <c r="K114" s="8" t="s">
        <v>40</v>
      </c>
      <c r="L114" s="10"/>
      <c r="M114" s="10"/>
      <c r="N114" s="10"/>
      <c r="O114" s="11"/>
      <c r="Q114" s="8"/>
      <c r="R114" s="8"/>
      <c r="S114" s="8"/>
      <c r="T114" s="8"/>
      <c r="U114" s="8"/>
      <c r="V114" s="8"/>
      <c r="W114" s="8"/>
      <c r="X114" s="8"/>
      <c r="Y114" s="13">
        <v>45583</v>
      </c>
      <c r="AA114" s="14" t="s">
        <v>695</v>
      </c>
      <c r="AB114" s="15" t="s">
        <v>696</v>
      </c>
      <c r="AD114" t="str">
        <f t="shared" si="1"/>
        <v/>
      </c>
    </row>
    <row r="115" spans="1:30" ht="13" customHeight="1" x14ac:dyDescent="0.35">
      <c r="A115" s="7" t="s">
        <v>32</v>
      </c>
      <c r="B115" s="8" t="s">
        <v>33</v>
      </c>
      <c r="C115" s="8"/>
      <c r="E115" s="8" t="s">
        <v>697</v>
      </c>
      <c r="F115" s="9" t="s">
        <v>35</v>
      </c>
      <c r="G115" s="8" t="s">
        <v>36</v>
      </c>
      <c r="H115" s="10" t="s">
        <v>37</v>
      </c>
      <c r="I115" s="8" t="s">
        <v>698</v>
      </c>
      <c r="J115" s="8" t="s">
        <v>195</v>
      </c>
      <c r="K115" s="8" t="s">
        <v>40</v>
      </c>
      <c r="L115" s="10"/>
      <c r="M115" s="10"/>
      <c r="N115" s="10"/>
      <c r="O115" s="11"/>
      <c r="Q115" s="8"/>
      <c r="R115" s="8"/>
      <c r="S115" s="8"/>
      <c r="T115" s="8"/>
      <c r="U115" s="8"/>
      <c r="V115" s="8"/>
      <c r="W115" s="8"/>
      <c r="X115" s="8"/>
      <c r="Y115" s="13">
        <v>45583</v>
      </c>
      <c r="AA115" s="14" t="s">
        <v>699</v>
      </c>
      <c r="AB115" s="15" t="s">
        <v>700</v>
      </c>
      <c r="AD115" t="str">
        <f t="shared" si="1"/>
        <v/>
      </c>
    </row>
    <row r="116" spans="1:30" ht="13" customHeight="1" x14ac:dyDescent="0.35">
      <c r="A116" s="7" t="s">
        <v>32</v>
      </c>
      <c r="B116" s="8" t="s">
        <v>70</v>
      </c>
      <c r="C116" s="8"/>
      <c r="D116" s="8" t="s">
        <v>101</v>
      </c>
      <c r="E116" s="9" t="s">
        <v>701</v>
      </c>
      <c r="F116" s="9" t="s">
        <v>235</v>
      </c>
      <c r="G116" s="8" t="s">
        <v>52</v>
      </c>
      <c r="I116" s="9" t="s">
        <v>702</v>
      </c>
      <c r="J116" s="8" t="s">
        <v>106</v>
      </c>
      <c r="K116" s="8" t="s">
        <v>132</v>
      </c>
      <c r="L116" s="53" t="s">
        <v>703</v>
      </c>
      <c r="M116" s="10" t="s">
        <v>704</v>
      </c>
      <c r="N116" s="10"/>
      <c r="O116" s="11" t="s">
        <v>705</v>
      </c>
      <c r="P116" s="9" t="s">
        <v>66</v>
      </c>
      <c r="Q116" s="9" t="s">
        <v>109</v>
      </c>
      <c r="R116" s="9" t="s">
        <v>110</v>
      </c>
      <c r="S116" s="8"/>
      <c r="T116" s="8"/>
      <c r="U116" s="8"/>
      <c r="V116" s="8"/>
      <c r="W116" s="8"/>
      <c r="X116" s="8"/>
      <c r="Y116" s="8"/>
      <c r="AA116" s="14" t="s">
        <v>706</v>
      </c>
      <c r="AD116">
        <f t="shared" si="1"/>
        <v>1</v>
      </c>
    </row>
    <row r="117" spans="1:30" ht="13" customHeight="1" x14ac:dyDescent="0.35">
      <c r="A117" s="7" t="s">
        <v>32</v>
      </c>
      <c r="B117" s="8" t="s">
        <v>70</v>
      </c>
      <c r="C117" s="8"/>
      <c r="D117" s="8" t="s">
        <v>120</v>
      </c>
      <c r="E117" s="9" t="s">
        <v>707</v>
      </c>
      <c r="F117" s="9" t="s">
        <v>145</v>
      </c>
      <c r="G117" s="8" t="s">
        <v>130</v>
      </c>
      <c r="I117" s="9" t="s">
        <v>708</v>
      </c>
      <c r="J117" s="9" t="s">
        <v>123</v>
      </c>
      <c r="K117" s="9" t="s">
        <v>55</v>
      </c>
      <c r="L117" s="48" t="s">
        <v>709</v>
      </c>
      <c r="M117" s="43" t="s">
        <v>181</v>
      </c>
      <c r="N117" s="43" t="s">
        <v>710</v>
      </c>
      <c r="O117" s="44" t="s">
        <v>711</v>
      </c>
      <c r="P117" s="9" t="s">
        <v>142</v>
      </c>
      <c r="Q117" s="82" t="s">
        <v>712</v>
      </c>
      <c r="R117" s="9" t="s">
        <v>118</v>
      </c>
      <c r="S117" s="8"/>
      <c r="T117" s="8"/>
      <c r="U117" s="8"/>
      <c r="V117" s="8"/>
      <c r="W117" s="8"/>
      <c r="X117" s="8"/>
      <c r="Y117" s="8"/>
      <c r="AA117" s="14" t="s">
        <v>713</v>
      </c>
      <c r="AD117">
        <f t="shared" si="1"/>
        <v>1</v>
      </c>
    </row>
    <row r="118" spans="1:30" ht="13" customHeight="1" x14ac:dyDescent="0.35">
      <c r="A118" s="7" t="s">
        <v>32</v>
      </c>
      <c r="B118" s="8" t="s">
        <v>48</v>
      </c>
      <c r="C118" s="8"/>
      <c r="D118" s="8" t="s">
        <v>172</v>
      </c>
      <c r="E118" s="52" t="s">
        <v>714</v>
      </c>
      <c r="F118" s="9" t="s">
        <v>235</v>
      </c>
      <c r="G118" s="8" t="s">
        <v>52</v>
      </c>
      <c r="I118" s="16" t="s">
        <v>715</v>
      </c>
      <c r="J118" s="8" t="s">
        <v>176</v>
      </c>
      <c r="K118" s="8" t="s">
        <v>55</v>
      </c>
      <c r="L118" s="48" t="s">
        <v>716</v>
      </c>
      <c r="M118" s="10" t="s">
        <v>238</v>
      </c>
      <c r="N118" s="10"/>
      <c r="O118" s="11" t="s">
        <v>717</v>
      </c>
      <c r="P118" s="8" t="s">
        <v>66</v>
      </c>
      <c r="Q118" s="8" t="s">
        <v>67</v>
      </c>
      <c r="R118" s="8" t="s">
        <v>118</v>
      </c>
      <c r="S118" s="8"/>
      <c r="T118" s="8"/>
      <c r="U118" s="8"/>
      <c r="V118" s="8"/>
      <c r="W118" s="8"/>
      <c r="X118" s="8"/>
      <c r="Y118" s="8"/>
      <c r="AA118" s="14" t="s">
        <v>718</v>
      </c>
      <c r="AD118">
        <f t="shared" si="1"/>
        <v>1</v>
      </c>
    </row>
    <row r="119" spans="1:30" ht="13" customHeight="1" x14ac:dyDescent="0.35">
      <c r="A119" s="7" t="s">
        <v>32</v>
      </c>
      <c r="B119" s="8" t="s">
        <v>33</v>
      </c>
      <c r="C119" s="8"/>
      <c r="E119" s="8" t="s">
        <v>719</v>
      </c>
      <c r="F119" s="9" t="s">
        <v>35</v>
      </c>
      <c r="G119" s="8" t="s">
        <v>36</v>
      </c>
      <c r="H119" s="10" t="s">
        <v>37</v>
      </c>
      <c r="I119" s="8" t="s">
        <v>720</v>
      </c>
      <c r="J119" s="8" t="s">
        <v>195</v>
      </c>
      <c r="K119" s="8" t="s">
        <v>40</v>
      </c>
      <c r="L119" s="10"/>
      <c r="M119" s="10"/>
      <c r="N119" s="10"/>
      <c r="O119" s="11"/>
      <c r="Q119" s="8"/>
      <c r="R119" s="8"/>
      <c r="S119" s="8"/>
      <c r="T119" s="8"/>
      <c r="U119" s="8"/>
      <c r="V119" s="8"/>
      <c r="W119" s="8"/>
      <c r="X119" s="8"/>
      <c r="Y119" s="13">
        <v>45586</v>
      </c>
      <c r="AA119" s="14" t="s">
        <v>721</v>
      </c>
      <c r="AB119" s="15" t="s">
        <v>722</v>
      </c>
      <c r="AD119" t="str">
        <f t="shared" si="1"/>
        <v/>
      </c>
    </row>
    <row r="120" spans="1:30" ht="13" customHeight="1" x14ac:dyDescent="0.35">
      <c r="A120" s="7" t="s">
        <v>32</v>
      </c>
      <c r="B120" s="8" t="s">
        <v>33</v>
      </c>
      <c r="C120" s="8"/>
      <c r="E120" s="8" t="s">
        <v>723</v>
      </c>
      <c r="F120" s="9" t="s">
        <v>35</v>
      </c>
      <c r="G120" s="8" t="s">
        <v>336</v>
      </c>
      <c r="H120" s="10" t="s">
        <v>193</v>
      </c>
      <c r="I120" s="8" t="s">
        <v>724</v>
      </c>
      <c r="J120" s="8" t="s">
        <v>195</v>
      </c>
      <c r="K120" s="8" t="s">
        <v>160</v>
      </c>
      <c r="L120" s="62" t="s">
        <v>725</v>
      </c>
      <c r="M120" s="10"/>
      <c r="N120" s="10"/>
      <c r="O120" s="11"/>
      <c r="Q120" s="8"/>
      <c r="R120" s="8"/>
      <c r="S120" s="8"/>
      <c r="T120" s="8"/>
      <c r="U120" s="8"/>
      <c r="V120" s="8"/>
      <c r="W120" s="8"/>
      <c r="X120" s="8"/>
      <c r="Y120" s="13">
        <v>45586</v>
      </c>
      <c r="AA120" s="14" t="s">
        <v>726</v>
      </c>
      <c r="AB120" s="15" t="s">
        <v>727</v>
      </c>
      <c r="AD120" t="str">
        <f t="shared" si="1"/>
        <v/>
      </c>
    </row>
    <row r="121" spans="1:30" ht="13" customHeight="1" x14ac:dyDescent="0.35">
      <c r="A121" s="7" t="s">
        <v>32</v>
      </c>
      <c r="B121" s="8" t="s">
        <v>48</v>
      </c>
      <c r="C121" s="8"/>
      <c r="D121" s="8" t="s">
        <v>49</v>
      </c>
      <c r="E121" s="38" t="s">
        <v>728</v>
      </c>
      <c r="F121" s="9" t="s">
        <v>51</v>
      </c>
      <c r="G121" s="8" t="s">
        <v>174</v>
      </c>
      <c r="I121" s="16" t="s">
        <v>729</v>
      </c>
      <c r="J121" s="38" t="s">
        <v>54</v>
      </c>
      <c r="K121" s="8" t="s">
        <v>55</v>
      </c>
      <c r="L121" s="39" t="s">
        <v>730</v>
      </c>
      <c r="M121" s="40"/>
      <c r="N121" s="40"/>
      <c r="O121" s="41" t="s">
        <v>731</v>
      </c>
      <c r="P121" s="38" t="s">
        <v>58</v>
      </c>
      <c r="Q121" s="83" t="s">
        <v>732</v>
      </c>
      <c r="R121" s="38" t="s">
        <v>118</v>
      </c>
      <c r="S121" s="8"/>
      <c r="T121" s="8"/>
      <c r="U121" s="8"/>
      <c r="V121" s="8"/>
      <c r="W121" s="8"/>
      <c r="X121" s="8"/>
      <c r="Y121" s="8"/>
      <c r="AA121" s="14" t="s">
        <v>733</v>
      </c>
      <c r="AD121" t="str">
        <f t="shared" si="1"/>
        <v/>
      </c>
    </row>
    <row r="122" spans="1:30" ht="13" customHeight="1" x14ac:dyDescent="0.35">
      <c r="A122" s="7" t="s">
        <v>32</v>
      </c>
      <c r="B122" s="8" t="s">
        <v>70</v>
      </c>
      <c r="C122" s="8"/>
      <c r="D122" s="8" t="s">
        <v>101</v>
      </c>
      <c r="E122" s="8" t="s">
        <v>734</v>
      </c>
      <c r="F122" s="9" t="s">
        <v>51</v>
      </c>
      <c r="G122" s="8" t="s">
        <v>174</v>
      </c>
      <c r="I122" s="8" t="s">
        <v>735</v>
      </c>
      <c r="J122" s="8" t="s">
        <v>106</v>
      </c>
      <c r="K122" s="8" t="s">
        <v>132</v>
      </c>
      <c r="L122" s="74" t="s">
        <v>736</v>
      </c>
      <c r="M122" s="10"/>
      <c r="N122" s="10"/>
      <c r="O122" s="11" t="s">
        <v>737</v>
      </c>
      <c r="P122" s="9" t="s">
        <v>66</v>
      </c>
      <c r="Q122" s="9" t="s">
        <v>109</v>
      </c>
      <c r="R122" s="9" t="s">
        <v>110</v>
      </c>
      <c r="S122" s="8"/>
      <c r="T122" s="8"/>
      <c r="U122" s="8"/>
      <c r="V122" s="8"/>
      <c r="W122" s="8"/>
      <c r="X122" s="8"/>
      <c r="Y122" s="8"/>
      <c r="AA122" s="14" t="s">
        <v>738</v>
      </c>
      <c r="AD122" t="str">
        <f t="shared" si="1"/>
        <v/>
      </c>
    </row>
    <row r="123" spans="1:30" ht="13" customHeight="1" x14ac:dyDescent="0.35">
      <c r="A123" s="7" t="s">
        <v>32</v>
      </c>
      <c r="B123" s="8" t="s">
        <v>48</v>
      </c>
      <c r="C123" s="8"/>
      <c r="D123" s="8" t="s">
        <v>172</v>
      </c>
      <c r="E123" s="8" t="s">
        <v>739</v>
      </c>
      <c r="F123" s="9" t="s">
        <v>35</v>
      </c>
      <c r="G123" s="8" t="s">
        <v>52</v>
      </c>
      <c r="I123" s="8" t="s">
        <v>740</v>
      </c>
      <c r="J123" s="8" t="s">
        <v>176</v>
      </c>
      <c r="K123" s="8" t="s">
        <v>132</v>
      </c>
      <c r="L123" s="10"/>
      <c r="M123" s="10"/>
      <c r="N123" s="10"/>
      <c r="O123" s="11"/>
      <c r="Q123" s="8"/>
      <c r="R123" s="8"/>
      <c r="S123" s="8"/>
      <c r="T123" s="8"/>
      <c r="U123" s="8"/>
      <c r="V123" s="8"/>
      <c r="W123" s="8"/>
      <c r="X123" s="8"/>
      <c r="Y123" s="8"/>
      <c r="AA123" s="14" t="s">
        <v>741</v>
      </c>
      <c r="AD123" t="str">
        <f t="shared" si="1"/>
        <v/>
      </c>
    </row>
    <row r="124" spans="1:30" ht="13" customHeight="1" x14ac:dyDescent="0.35">
      <c r="A124" s="7" t="s">
        <v>32</v>
      </c>
      <c r="B124" s="8" t="s">
        <v>33</v>
      </c>
      <c r="C124" s="8"/>
      <c r="E124" s="8" t="s">
        <v>742</v>
      </c>
      <c r="F124" s="9" t="s">
        <v>35</v>
      </c>
      <c r="G124" s="8" t="s">
        <v>36</v>
      </c>
      <c r="H124" s="10" t="s">
        <v>37</v>
      </c>
      <c r="I124" s="8" t="s">
        <v>743</v>
      </c>
      <c r="J124" s="8" t="s">
        <v>195</v>
      </c>
      <c r="K124" s="8" t="s">
        <v>40</v>
      </c>
      <c r="L124" s="10"/>
      <c r="M124" s="10"/>
      <c r="N124" s="10"/>
      <c r="O124" s="11"/>
      <c r="Q124" s="8"/>
      <c r="R124" s="8"/>
      <c r="S124" s="8"/>
      <c r="T124" s="8"/>
      <c r="U124" s="8"/>
      <c r="V124" s="8"/>
      <c r="W124" s="8"/>
      <c r="X124" s="8"/>
      <c r="Y124" s="13">
        <v>45586</v>
      </c>
      <c r="AA124" s="14" t="s">
        <v>744</v>
      </c>
      <c r="AB124" s="15" t="s">
        <v>745</v>
      </c>
      <c r="AD124" t="str">
        <f t="shared" si="1"/>
        <v/>
      </c>
    </row>
    <row r="125" spans="1:30" ht="13" customHeight="1" x14ac:dyDescent="0.35">
      <c r="A125" s="7" t="s">
        <v>32</v>
      </c>
      <c r="B125" s="8" t="s">
        <v>48</v>
      </c>
      <c r="C125" s="8"/>
      <c r="D125" s="8" t="s">
        <v>172</v>
      </c>
      <c r="E125" s="8" t="s">
        <v>746</v>
      </c>
      <c r="F125" s="9" t="s">
        <v>35</v>
      </c>
      <c r="G125" s="8" t="s">
        <v>174</v>
      </c>
      <c r="I125" s="8" t="s">
        <v>747</v>
      </c>
      <c r="J125" s="8" t="s">
        <v>176</v>
      </c>
      <c r="K125" s="8" t="s">
        <v>132</v>
      </c>
      <c r="L125" s="43"/>
      <c r="M125" s="43"/>
      <c r="N125" s="43"/>
      <c r="O125" s="44"/>
      <c r="P125" s="9"/>
      <c r="Q125" s="9"/>
      <c r="R125" s="9"/>
      <c r="S125" s="8"/>
      <c r="T125" s="8"/>
      <c r="U125" s="8"/>
      <c r="V125" s="8"/>
      <c r="W125" s="8"/>
      <c r="X125" s="8"/>
      <c r="Y125" s="8"/>
      <c r="AA125" s="14" t="s">
        <v>748</v>
      </c>
      <c r="AD125" t="str">
        <f t="shared" si="1"/>
        <v/>
      </c>
    </row>
    <row r="126" spans="1:30" ht="13" customHeight="1" x14ac:dyDescent="0.35">
      <c r="A126" s="7" t="s">
        <v>32</v>
      </c>
      <c r="B126" s="8" t="s">
        <v>33</v>
      </c>
      <c r="C126" s="8"/>
      <c r="E126" s="8" t="s">
        <v>749</v>
      </c>
      <c r="F126" s="9" t="s">
        <v>35</v>
      </c>
      <c r="G126" s="8" t="s">
        <v>336</v>
      </c>
      <c r="H126" s="10" t="s">
        <v>223</v>
      </c>
      <c r="I126" s="8" t="s">
        <v>750</v>
      </c>
      <c r="J126" s="8" t="s">
        <v>751</v>
      </c>
      <c r="K126" s="8" t="s">
        <v>599</v>
      </c>
      <c r="L126" s="62" t="s">
        <v>752</v>
      </c>
      <c r="M126" s="10"/>
      <c r="N126" s="10"/>
      <c r="O126" s="11" t="s">
        <v>753</v>
      </c>
      <c r="Q126" s="8"/>
      <c r="R126" s="8"/>
      <c r="S126" s="8"/>
      <c r="T126" s="8"/>
      <c r="U126" s="8"/>
      <c r="V126" s="8"/>
      <c r="W126" s="8"/>
      <c r="X126" s="8"/>
      <c r="Y126" s="13">
        <v>45558</v>
      </c>
      <c r="AA126" s="14" t="s">
        <v>754</v>
      </c>
      <c r="AB126" s="15" t="s">
        <v>755</v>
      </c>
      <c r="AD126" t="str">
        <f t="shared" si="1"/>
        <v/>
      </c>
    </row>
    <row r="127" spans="1:30" ht="13" customHeight="1" x14ac:dyDescent="0.35">
      <c r="A127" s="7" t="s">
        <v>32</v>
      </c>
      <c r="B127" s="8" t="s">
        <v>33</v>
      </c>
      <c r="C127" s="8"/>
      <c r="E127" s="8" t="s">
        <v>756</v>
      </c>
      <c r="F127" s="9" t="s">
        <v>35</v>
      </c>
      <c r="G127" s="8" t="s">
        <v>36</v>
      </c>
      <c r="H127" s="10" t="s">
        <v>193</v>
      </c>
      <c r="I127" s="8" t="s">
        <v>757</v>
      </c>
      <c r="J127" s="8" t="s">
        <v>195</v>
      </c>
      <c r="K127" s="8" t="s">
        <v>40</v>
      </c>
      <c r="L127" s="62" t="s">
        <v>758</v>
      </c>
      <c r="M127" s="10" t="s">
        <v>759</v>
      </c>
      <c r="N127" s="10"/>
      <c r="O127" s="11" t="s">
        <v>760</v>
      </c>
      <c r="Q127" s="8"/>
      <c r="R127" s="8"/>
      <c r="S127" s="8"/>
      <c r="T127" s="8"/>
      <c r="U127" s="8"/>
      <c r="V127" s="8"/>
      <c r="W127" s="8"/>
      <c r="X127" s="8"/>
      <c r="Y127" s="13">
        <v>45586</v>
      </c>
      <c r="AA127" s="14" t="s">
        <v>761</v>
      </c>
      <c r="AB127" s="15" t="s">
        <v>762</v>
      </c>
      <c r="AD127">
        <f t="shared" si="1"/>
        <v>1</v>
      </c>
    </row>
    <row r="128" spans="1:30" ht="13" customHeight="1" x14ac:dyDescent="0.35">
      <c r="A128" s="7" t="s">
        <v>32</v>
      </c>
      <c r="B128" s="8" t="s">
        <v>33</v>
      </c>
      <c r="C128" s="8"/>
      <c r="E128" s="8" t="s">
        <v>763</v>
      </c>
      <c r="F128" s="9" t="s">
        <v>35</v>
      </c>
      <c r="G128" s="8" t="s">
        <v>36</v>
      </c>
      <c r="H128" s="10" t="s">
        <v>37</v>
      </c>
      <c r="I128" s="8" t="s">
        <v>764</v>
      </c>
      <c r="J128" s="8" t="s">
        <v>195</v>
      </c>
      <c r="K128" s="8" t="s">
        <v>40</v>
      </c>
      <c r="L128" s="10"/>
      <c r="M128" s="10"/>
      <c r="N128" s="10"/>
      <c r="O128" s="11"/>
      <c r="Q128" s="8"/>
      <c r="R128" s="8"/>
      <c r="S128" s="8"/>
      <c r="T128" s="8"/>
      <c r="U128" s="8"/>
      <c r="V128" s="8"/>
      <c r="W128" s="8"/>
      <c r="X128" s="8"/>
      <c r="Y128" s="13">
        <v>45586</v>
      </c>
      <c r="AA128" s="14" t="s">
        <v>765</v>
      </c>
      <c r="AB128" s="15" t="s">
        <v>766</v>
      </c>
      <c r="AD128" t="str">
        <f t="shared" si="1"/>
        <v/>
      </c>
    </row>
    <row r="129" spans="1:30" ht="13" customHeight="1" x14ac:dyDescent="0.35">
      <c r="A129" s="7" t="s">
        <v>32</v>
      </c>
      <c r="B129" s="8" t="s">
        <v>33</v>
      </c>
      <c r="C129" s="8"/>
      <c r="E129" s="8" t="s">
        <v>767</v>
      </c>
      <c r="F129" s="8" t="s">
        <v>35</v>
      </c>
      <c r="G129" s="8" t="s">
        <v>36</v>
      </c>
      <c r="H129" s="10" t="s">
        <v>193</v>
      </c>
      <c r="I129" s="8" t="s">
        <v>768</v>
      </c>
      <c r="J129" s="8" t="s">
        <v>432</v>
      </c>
      <c r="K129" s="8" t="s">
        <v>40</v>
      </c>
      <c r="L129" s="79" t="s">
        <v>769</v>
      </c>
      <c r="M129" s="57" t="s">
        <v>770</v>
      </c>
      <c r="N129" s="11"/>
      <c r="O129" s="55" t="s">
        <v>771</v>
      </c>
      <c r="Q129" s="8"/>
      <c r="R129" s="8"/>
      <c r="S129" s="8"/>
      <c r="T129" s="8"/>
      <c r="U129" s="8"/>
      <c r="V129" s="8"/>
      <c r="W129" s="8"/>
      <c r="X129" s="8"/>
      <c r="Y129" s="13">
        <v>45586</v>
      </c>
      <c r="Z129" s="8" t="s">
        <v>228</v>
      </c>
      <c r="AA129" s="14" t="s">
        <v>772</v>
      </c>
      <c r="AB129" s="15" t="s">
        <v>773</v>
      </c>
      <c r="AD129">
        <f t="shared" si="1"/>
        <v>3</v>
      </c>
    </row>
    <row r="130" spans="1:30" ht="13" customHeight="1" x14ac:dyDescent="0.35">
      <c r="A130" s="7" t="s">
        <v>32</v>
      </c>
      <c r="B130" s="8" t="s">
        <v>70</v>
      </c>
      <c r="C130" s="8"/>
      <c r="D130" s="8" t="s">
        <v>101</v>
      </c>
      <c r="E130" s="9" t="s">
        <v>774</v>
      </c>
      <c r="F130" s="9" t="s">
        <v>235</v>
      </c>
      <c r="G130" s="8" t="s">
        <v>52</v>
      </c>
      <c r="I130" s="9" t="s">
        <v>775</v>
      </c>
      <c r="J130" s="9" t="s">
        <v>106</v>
      </c>
      <c r="K130" s="8" t="s">
        <v>55</v>
      </c>
      <c r="L130" s="53" t="s">
        <v>776</v>
      </c>
      <c r="M130" s="43" t="s">
        <v>777</v>
      </c>
      <c r="N130" s="43"/>
      <c r="O130" s="44" t="s">
        <v>778</v>
      </c>
      <c r="P130" s="9" t="s">
        <v>779</v>
      </c>
      <c r="Q130" s="9" t="s">
        <v>109</v>
      </c>
      <c r="R130" s="9" t="s">
        <v>780</v>
      </c>
      <c r="S130" s="8"/>
      <c r="T130" s="8"/>
      <c r="U130" s="8"/>
      <c r="V130" s="8"/>
      <c r="W130" s="8"/>
      <c r="X130" s="8"/>
      <c r="Y130" s="8"/>
      <c r="AA130" s="14" t="s">
        <v>781</v>
      </c>
      <c r="AD130">
        <f t="shared" ref="AD130:AD193" si="2">IF(M130="","",COUNTA(_xlfn.TEXTSPLIT(M130,CHAR(10))))</f>
        <v>1</v>
      </c>
    </row>
    <row r="131" spans="1:30" ht="13" customHeight="1" x14ac:dyDescent="0.35">
      <c r="A131" s="7" t="s">
        <v>32</v>
      </c>
      <c r="B131" s="8" t="s">
        <v>48</v>
      </c>
      <c r="C131" s="8"/>
      <c r="D131" s="8" t="s">
        <v>49</v>
      </c>
      <c r="E131" s="16" t="s">
        <v>782</v>
      </c>
      <c r="F131" s="9" t="s">
        <v>51</v>
      </c>
      <c r="G131" s="8" t="s">
        <v>52</v>
      </c>
      <c r="I131" s="16" t="s">
        <v>783</v>
      </c>
      <c r="J131" s="16" t="s">
        <v>54</v>
      </c>
      <c r="K131" s="8" t="s">
        <v>55</v>
      </c>
      <c r="L131" s="81" t="s">
        <v>730</v>
      </c>
      <c r="M131" s="18"/>
      <c r="N131" s="18"/>
      <c r="O131" s="19" t="s">
        <v>784</v>
      </c>
      <c r="P131" s="16" t="s">
        <v>58</v>
      </c>
      <c r="Q131" s="8"/>
      <c r="R131" s="16" t="s">
        <v>118</v>
      </c>
      <c r="S131" s="8"/>
      <c r="T131" s="8"/>
      <c r="U131" s="8"/>
      <c r="V131" s="8"/>
      <c r="W131" s="8"/>
      <c r="X131" s="8"/>
      <c r="Y131" s="8"/>
      <c r="AA131" s="14" t="s">
        <v>785</v>
      </c>
      <c r="AD131" t="str">
        <f t="shared" si="2"/>
        <v/>
      </c>
    </row>
    <row r="132" spans="1:30" ht="13" customHeight="1" x14ac:dyDescent="0.35">
      <c r="A132" s="7" t="s">
        <v>32</v>
      </c>
      <c r="B132" s="8" t="s">
        <v>33</v>
      </c>
      <c r="C132" s="8"/>
      <c r="E132" s="8" t="s">
        <v>786</v>
      </c>
      <c r="F132" s="9" t="s">
        <v>35</v>
      </c>
      <c r="G132" s="8" t="s">
        <v>36</v>
      </c>
      <c r="H132" s="10" t="s">
        <v>37</v>
      </c>
      <c r="I132" s="8" t="s">
        <v>787</v>
      </c>
      <c r="J132" s="8" t="s">
        <v>195</v>
      </c>
      <c r="K132" s="8" t="s">
        <v>599</v>
      </c>
      <c r="L132" s="10"/>
      <c r="M132" s="10"/>
      <c r="N132" s="10"/>
      <c r="O132" s="11"/>
      <c r="Q132" s="8"/>
      <c r="R132" s="8"/>
      <c r="S132" s="8"/>
      <c r="T132" s="8"/>
      <c r="U132" s="8"/>
      <c r="V132" s="8"/>
      <c r="W132" s="8"/>
      <c r="X132" s="8"/>
      <c r="Y132" s="13">
        <v>45586</v>
      </c>
      <c r="AA132" s="14" t="s">
        <v>788</v>
      </c>
      <c r="AB132" s="15" t="s">
        <v>789</v>
      </c>
      <c r="AD132" t="str">
        <f t="shared" si="2"/>
        <v/>
      </c>
    </row>
    <row r="133" spans="1:30" ht="13" customHeight="1" x14ac:dyDescent="0.35">
      <c r="A133" s="7" t="s">
        <v>32</v>
      </c>
      <c r="B133" s="8" t="s">
        <v>33</v>
      </c>
      <c r="C133" s="8"/>
      <c r="E133" s="8" t="s">
        <v>790</v>
      </c>
      <c r="F133" s="9" t="s">
        <v>35</v>
      </c>
      <c r="G133" s="8" t="s">
        <v>36</v>
      </c>
      <c r="H133" s="10" t="s">
        <v>37</v>
      </c>
      <c r="I133" s="8" t="s">
        <v>791</v>
      </c>
      <c r="J133" s="8" t="s">
        <v>195</v>
      </c>
      <c r="K133" s="8" t="s">
        <v>40</v>
      </c>
      <c r="L133" s="10"/>
      <c r="M133" s="10"/>
      <c r="N133" s="10"/>
      <c r="O133" s="11"/>
      <c r="Q133" s="8"/>
      <c r="R133" s="8"/>
      <c r="S133" s="8"/>
      <c r="T133" s="8"/>
      <c r="U133" s="8"/>
      <c r="V133" s="8"/>
      <c r="W133" s="8"/>
      <c r="X133" s="8"/>
      <c r="Y133" s="13">
        <v>45586</v>
      </c>
      <c r="AA133" s="14" t="s">
        <v>792</v>
      </c>
      <c r="AB133" s="15" t="s">
        <v>793</v>
      </c>
      <c r="AD133" t="str">
        <f t="shared" si="2"/>
        <v/>
      </c>
    </row>
    <row r="134" spans="1:30" ht="13" customHeight="1" x14ac:dyDescent="0.35">
      <c r="A134" s="7" t="s">
        <v>32</v>
      </c>
      <c r="B134" s="8" t="s">
        <v>33</v>
      </c>
      <c r="C134" s="8"/>
      <c r="E134" s="8" t="s">
        <v>794</v>
      </c>
      <c r="F134" s="9" t="s">
        <v>35</v>
      </c>
      <c r="G134" s="8" t="s">
        <v>36</v>
      </c>
      <c r="H134" s="10" t="s">
        <v>795</v>
      </c>
      <c r="I134" s="8" t="s">
        <v>796</v>
      </c>
      <c r="J134" s="8" t="s">
        <v>195</v>
      </c>
      <c r="L134" s="10" t="s">
        <v>797</v>
      </c>
      <c r="M134" s="10"/>
      <c r="N134" s="10"/>
      <c r="O134" s="11"/>
      <c r="Q134" s="8"/>
      <c r="R134" s="8"/>
      <c r="S134" s="8"/>
      <c r="T134" s="8"/>
      <c r="U134" s="8"/>
      <c r="V134" s="8"/>
      <c r="W134" s="8"/>
      <c r="X134" s="8"/>
      <c r="Y134" s="13">
        <v>45607</v>
      </c>
      <c r="AA134" s="14" t="s">
        <v>798</v>
      </c>
      <c r="AD134" t="str">
        <f t="shared" si="2"/>
        <v/>
      </c>
    </row>
    <row r="135" spans="1:30" ht="13" customHeight="1" x14ac:dyDescent="0.35">
      <c r="A135" s="7" t="s">
        <v>69</v>
      </c>
      <c r="B135" s="8" t="s">
        <v>33</v>
      </c>
      <c r="C135" s="8" t="s">
        <v>799</v>
      </c>
      <c r="E135" s="49" t="s">
        <v>800</v>
      </c>
      <c r="F135" s="9" t="s">
        <v>103</v>
      </c>
      <c r="I135" s="38"/>
      <c r="J135" s="38"/>
      <c r="L135" s="41"/>
      <c r="M135" s="41"/>
      <c r="N135" s="41"/>
      <c r="O135" s="50" t="s">
        <v>801</v>
      </c>
      <c r="P135" s="38"/>
      <c r="Q135" s="49"/>
      <c r="R135" s="49"/>
      <c r="S135" s="8"/>
      <c r="T135" s="8"/>
      <c r="X135" s="8"/>
      <c r="Z135" s="8" t="s">
        <v>802</v>
      </c>
      <c r="AA135" s="14" t="s">
        <v>803</v>
      </c>
      <c r="AB135" s="12" t="s">
        <v>804</v>
      </c>
      <c r="AD135" t="str">
        <f t="shared" si="2"/>
        <v/>
      </c>
    </row>
    <row r="136" spans="1:30" ht="13" customHeight="1" x14ac:dyDescent="0.35">
      <c r="A136" s="7" t="s">
        <v>69</v>
      </c>
      <c r="B136" s="8" t="s">
        <v>33</v>
      </c>
      <c r="C136" s="8" t="s">
        <v>799</v>
      </c>
      <c r="E136" s="29" t="s">
        <v>805</v>
      </c>
      <c r="F136" s="9" t="s">
        <v>103</v>
      </c>
      <c r="I136" s="8"/>
      <c r="L136" s="10" t="s">
        <v>806</v>
      </c>
      <c r="M136" s="10" t="s">
        <v>807</v>
      </c>
      <c r="N136" s="10"/>
      <c r="O136" s="31" t="s">
        <v>808</v>
      </c>
      <c r="S136" s="8"/>
      <c r="T136" s="8"/>
      <c r="X136" s="8"/>
      <c r="Z136" s="8" t="s">
        <v>228</v>
      </c>
      <c r="AA136" s="14" t="s">
        <v>809</v>
      </c>
      <c r="AB136" s="12" t="s">
        <v>810</v>
      </c>
      <c r="AD136">
        <f t="shared" si="2"/>
        <v>1</v>
      </c>
    </row>
    <row r="137" spans="1:30" ht="13" customHeight="1" x14ac:dyDescent="0.35">
      <c r="A137" s="7" t="s">
        <v>69</v>
      </c>
      <c r="B137" s="8" t="s">
        <v>33</v>
      </c>
      <c r="C137" s="8" t="s">
        <v>799</v>
      </c>
      <c r="E137" s="29" t="s">
        <v>811</v>
      </c>
      <c r="F137" s="9" t="s">
        <v>103</v>
      </c>
      <c r="I137" s="8"/>
      <c r="L137" s="10"/>
      <c r="M137" s="10"/>
      <c r="N137" s="10"/>
      <c r="S137" s="8"/>
      <c r="T137" s="8"/>
      <c r="X137" s="8"/>
      <c r="Z137" s="8" t="s">
        <v>228</v>
      </c>
      <c r="AA137" s="14" t="s">
        <v>812</v>
      </c>
      <c r="AB137" s="12" t="s">
        <v>810</v>
      </c>
      <c r="AD137" t="str">
        <f t="shared" si="2"/>
        <v/>
      </c>
    </row>
    <row r="138" spans="1:30" ht="13" customHeight="1" x14ac:dyDescent="0.35">
      <c r="A138" s="7" t="s">
        <v>32</v>
      </c>
      <c r="B138" s="8" t="s">
        <v>33</v>
      </c>
      <c r="C138" s="8"/>
      <c r="E138" s="8" t="s">
        <v>813</v>
      </c>
      <c r="F138" s="8" t="s">
        <v>136</v>
      </c>
      <c r="G138" s="8" t="s">
        <v>336</v>
      </c>
      <c r="H138" s="10" t="s">
        <v>223</v>
      </c>
      <c r="I138" s="8" t="s">
        <v>814</v>
      </c>
      <c r="J138" s="8" t="s">
        <v>815</v>
      </c>
      <c r="L138" s="79" t="s">
        <v>816</v>
      </c>
      <c r="M138" s="57" t="s">
        <v>817</v>
      </c>
      <c r="N138" s="11" t="s">
        <v>818</v>
      </c>
      <c r="O138" s="11" t="s">
        <v>819</v>
      </c>
      <c r="P138" s="8" t="s">
        <v>66</v>
      </c>
      <c r="Q138" s="82" t="s">
        <v>820</v>
      </c>
      <c r="R138" s="8"/>
      <c r="S138" s="8"/>
      <c r="T138" s="8"/>
      <c r="U138" s="8"/>
      <c r="V138" s="8"/>
      <c r="W138" s="8"/>
      <c r="X138" s="8"/>
      <c r="Y138" s="13">
        <v>45594</v>
      </c>
      <c r="AA138" s="14" t="s">
        <v>821</v>
      </c>
      <c r="AB138" s="12" t="s">
        <v>822</v>
      </c>
      <c r="AD138">
        <f t="shared" si="2"/>
        <v>4</v>
      </c>
    </row>
    <row r="139" spans="1:30" ht="13" customHeight="1" x14ac:dyDescent="0.35">
      <c r="A139" s="7" t="s">
        <v>32</v>
      </c>
      <c r="B139" s="8" t="s">
        <v>33</v>
      </c>
      <c r="C139" s="8"/>
      <c r="E139" s="8" t="s">
        <v>813</v>
      </c>
      <c r="F139" s="8" t="s">
        <v>136</v>
      </c>
      <c r="G139" s="8" t="s">
        <v>36</v>
      </c>
      <c r="H139" s="10" t="s">
        <v>591</v>
      </c>
      <c r="I139" s="8" t="s">
        <v>823</v>
      </c>
      <c r="J139" s="8" t="s">
        <v>815</v>
      </c>
      <c r="L139" s="79" t="s">
        <v>816</v>
      </c>
      <c r="M139" s="57" t="s">
        <v>817</v>
      </c>
      <c r="N139" s="11" t="s">
        <v>824</v>
      </c>
      <c r="O139" s="11" t="s">
        <v>819</v>
      </c>
      <c r="P139" s="8" t="s">
        <v>66</v>
      </c>
      <c r="Q139" s="82" t="s">
        <v>820</v>
      </c>
      <c r="R139" s="8"/>
      <c r="S139" s="8"/>
      <c r="T139" s="8"/>
      <c r="U139" s="8"/>
      <c r="V139" s="8"/>
      <c r="W139" s="8"/>
      <c r="X139" s="8"/>
      <c r="Y139" s="13">
        <v>45594</v>
      </c>
      <c r="AA139" s="14" t="s">
        <v>825</v>
      </c>
      <c r="AB139" s="12" t="s">
        <v>822</v>
      </c>
      <c r="AD139">
        <f t="shared" si="2"/>
        <v>4</v>
      </c>
    </row>
    <row r="140" spans="1:30" ht="13" customHeight="1" x14ac:dyDescent="0.35">
      <c r="A140" s="7" t="s">
        <v>32</v>
      </c>
      <c r="B140" s="8" t="s">
        <v>33</v>
      </c>
      <c r="C140" s="8"/>
      <c r="E140" s="8" t="s">
        <v>813</v>
      </c>
      <c r="F140" s="8" t="s">
        <v>136</v>
      </c>
      <c r="G140" s="8" t="s">
        <v>336</v>
      </c>
      <c r="H140" s="10" t="s">
        <v>223</v>
      </c>
      <c r="I140" s="8" t="s">
        <v>826</v>
      </c>
      <c r="J140" s="8" t="s">
        <v>815</v>
      </c>
      <c r="L140" s="79" t="s">
        <v>816</v>
      </c>
      <c r="M140" s="57" t="s">
        <v>827</v>
      </c>
      <c r="N140" s="11" t="s">
        <v>818</v>
      </c>
      <c r="O140" s="11" t="s">
        <v>819</v>
      </c>
      <c r="P140" s="8" t="s">
        <v>66</v>
      </c>
      <c r="Q140" s="82" t="s">
        <v>820</v>
      </c>
      <c r="R140" s="8"/>
      <c r="S140" s="8"/>
      <c r="T140" s="8"/>
      <c r="U140" s="8"/>
      <c r="V140" s="8"/>
      <c r="W140" s="8"/>
      <c r="X140" s="8"/>
      <c r="Y140" s="13">
        <v>45594</v>
      </c>
      <c r="AA140" s="14" t="s">
        <v>828</v>
      </c>
      <c r="AB140" s="12" t="s">
        <v>822</v>
      </c>
      <c r="AD140">
        <f t="shared" si="2"/>
        <v>5</v>
      </c>
    </row>
    <row r="141" spans="1:30" ht="13" customHeight="1" x14ac:dyDescent="0.35">
      <c r="A141" s="7" t="s">
        <v>32</v>
      </c>
      <c r="B141" s="8" t="s">
        <v>33</v>
      </c>
      <c r="C141" s="8"/>
      <c r="E141" s="8" t="s">
        <v>829</v>
      </c>
      <c r="F141" s="8" t="s">
        <v>136</v>
      </c>
      <c r="G141" s="8" t="s">
        <v>336</v>
      </c>
      <c r="H141" s="10" t="s">
        <v>223</v>
      </c>
      <c r="I141" s="8" t="s">
        <v>830</v>
      </c>
      <c r="J141" s="8" t="s">
        <v>815</v>
      </c>
      <c r="L141" s="79" t="s">
        <v>816</v>
      </c>
      <c r="M141" s="57" t="s">
        <v>817</v>
      </c>
      <c r="N141" s="11" t="s">
        <v>818</v>
      </c>
      <c r="O141" s="11" t="s">
        <v>819</v>
      </c>
      <c r="Q141" s="82" t="s">
        <v>820</v>
      </c>
      <c r="R141" s="8"/>
      <c r="S141" s="8"/>
      <c r="T141" s="8"/>
      <c r="U141" s="8"/>
      <c r="V141" s="8"/>
      <c r="W141" s="8"/>
      <c r="X141" s="8"/>
      <c r="Y141" s="13">
        <v>45594</v>
      </c>
      <c r="AA141" s="14" t="s">
        <v>831</v>
      </c>
      <c r="AB141" s="12" t="s">
        <v>822</v>
      </c>
      <c r="AD141">
        <f t="shared" si="2"/>
        <v>4</v>
      </c>
    </row>
    <row r="142" spans="1:30" ht="13" customHeight="1" x14ac:dyDescent="0.35">
      <c r="A142" s="7" t="s">
        <v>32</v>
      </c>
      <c r="B142" s="8" t="s">
        <v>33</v>
      </c>
      <c r="C142" s="8"/>
      <c r="E142" s="8" t="s">
        <v>832</v>
      </c>
      <c r="F142" s="9" t="s">
        <v>136</v>
      </c>
      <c r="G142" s="8" t="s">
        <v>336</v>
      </c>
      <c r="H142" s="10" t="s">
        <v>223</v>
      </c>
      <c r="I142" s="8" t="s">
        <v>833</v>
      </c>
      <c r="J142" s="8" t="s">
        <v>815</v>
      </c>
      <c r="L142" s="11" t="s">
        <v>816</v>
      </c>
      <c r="M142" s="11" t="s">
        <v>817</v>
      </c>
      <c r="N142" s="11" t="s">
        <v>818</v>
      </c>
      <c r="O142" s="11" t="s">
        <v>819</v>
      </c>
      <c r="Q142" s="82" t="s">
        <v>820</v>
      </c>
      <c r="R142" s="8"/>
      <c r="S142" s="8"/>
      <c r="T142" s="8"/>
      <c r="U142" s="8"/>
      <c r="V142" s="8"/>
      <c r="W142" s="8"/>
      <c r="X142" s="8"/>
      <c r="Y142" s="13">
        <v>45594</v>
      </c>
      <c r="AA142" s="14" t="s">
        <v>834</v>
      </c>
      <c r="AB142" s="12" t="s">
        <v>822</v>
      </c>
      <c r="AD142">
        <f t="shared" si="2"/>
        <v>4</v>
      </c>
    </row>
    <row r="143" spans="1:30" ht="13" customHeight="1" x14ac:dyDescent="0.35">
      <c r="A143" s="7" t="s">
        <v>32</v>
      </c>
      <c r="B143" s="8" t="s">
        <v>33</v>
      </c>
      <c r="C143" s="8"/>
      <c r="E143" s="8" t="s">
        <v>835</v>
      </c>
      <c r="F143" s="9" t="s">
        <v>136</v>
      </c>
      <c r="G143" s="8" t="s">
        <v>336</v>
      </c>
      <c r="H143" s="10" t="s">
        <v>223</v>
      </c>
      <c r="I143" s="8" t="s">
        <v>836</v>
      </c>
      <c r="J143" s="8" t="s">
        <v>837</v>
      </c>
      <c r="L143" s="73" t="s">
        <v>838</v>
      </c>
      <c r="M143" s="73" t="s">
        <v>839</v>
      </c>
      <c r="N143" s="73" t="s">
        <v>840</v>
      </c>
      <c r="O143" s="11" t="s">
        <v>841</v>
      </c>
      <c r="Q143" s="8"/>
      <c r="R143" s="8"/>
      <c r="S143" s="8"/>
      <c r="T143" s="8"/>
      <c r="U143" s="8"/>
      <c r="V143" s="8"/>
      <c r="W143" s="8"/>
      <c r="X143" s="8"/>
      <c r="Y143" s="13">
        <v>45558</v>
      </c>
      <c r="Z143" s="8" t="s">
        <v>228</v>
      </c>
      <c r="AA143" s="14" t="s">
        <v>842</v>
      </c>
      <c r="AB143" s="15" t="s">
        <v>843</v>
      </c>
      <c r="AD143">
        <f t="shared" si="2"/>
        <v>2</v>
      </c>
    </row>
    <row r="144" spans="1:30" ht="13" customHeight="1" x14ac:dyDescent="0.35">
      <c r="A144" s="7" t="s">
        <v>32</v>
      </c>
      <c r="B144" s="8" t="s">
        <v>33</v>
      </c>
      <c r="C144" s="8"/>
      <c r="E144" s="8" t="s">
        <v>844</v>
      </c>
      <c r="F144" s="8" t="s">
        <v>136</v>
      </c>
      <c r="G144" s="8" t="s">
        <v>336</v>
      </c>
      <c r="H144" s="10" t="s">
        <v>440</v>
      </c>
      <c r="I144" s="8" t="s">
        <v>845</v>
      </c>
      <c r="J144" s="8" t="s">
        <v>39</v>
      </c>
      <c r="L144" s="56" t="s">
        <v>846</v>
      </c>
      <c r="M144" s="72" t="s">
        <v>847</v>
      </c>
      <c r="N144" s="11" t="s">
        <v>848</v>
      </c>
      <c r="O144" s="11" t="s">
        <v>849</v>
      </c>
      <c r="Q144" s="82" t="s">
        <v>850</v>
      </c>
      <c r="R144" s="8"/>
      <c r="S144" s="8"/>
      <c r="T144" s="8"/>
      <c r="U144" s="8"/>
      <c r="V144" s="8"/>
      <c r="W144" s="8"/>
      <c r="X144" s="8"/>
      <c r="Y144" s="13">
        <v>45689</v>
      </c>
      <c r="Z144" s="8" t="s">
        <v>228</v>
      </c>
      <c r="AA144" s="14" t="s">
        <v>851</v>
      </c>
      <c r="AD144">
        <f t="shared" si="2"/>
        <v>1</v>
      </c>
    </row>
    <row r="145" spans="1:30" ht="13" customHeight="1" x14ac:dyDescent="0.35">
      <c r="A145" s="7" t="s">
        <v>32</v>
      </c>
      <c r="B145" s="8" t="s">
        <v>33</v>
      </c>
      <c r="C145" s="8"/>
      <c r="E145" s="49" t="s">
        <v>852</v>
      </c>
      <c r="F145" s="9" t="s">
        <v>136</v>
      </c>
      <c r="G145" s="8" t="s">
        <v>36</v>
      </c>
      <c r="H145" s="10" t="s">
        <v>440</v>
      </c>
      <c r="I145" s="38" t="s">
        <v>853</v>
      </c>
      <c r="J145" s="38" t="s">
        <v>815</v>
      </c>
      <c r="L145" s="41" t="s">
        <v>854</v>
      </c>
      <c r="M145" s="41" t="s">
        <v>855</v>
      </c>
      <c r="N145" s="41" t="s">
        <v>856</v>
      </c>
      <c r="O145" s="50" t="s">
        <v>857</v>
      </c>
      <c r="P145" s="38"/>
      <c r="Q145" s="49"/>
      <c r="R145" s="49"/>
      <c r="S145" s="8"/>
      <c r="T145" s="8"/>
      <c r="X145" s="8"/>
      <c r="Y145" s="13">
        <v>45689</v>
      </c>
      <c r="Z145" s="8" t="s">
        <v>228</v>
      </c>
      <c r="AA145" s="14" t="s">
        <v>858</v>
      </c>
      <c r="AB145" s="15"/>
      <c r="AD145">
        <f t="shared" si="2"/>
        <v>2</v>
      </c>
    </row>
    <row r="146" spans="1:30" ht="13" customHeight="1" x14ac:dyDescent="0.35">
      <c r="A146" s="7" t="s">
        <v>32</v>
      </c>
      <c r="B146" s="8" t="s">
        <v>33</v>
      </c>
      <c r="C146" s="8"/>
      <c r="E146" s="8" t="s">
        <v>859</v>
      </c>
      <c r="F146" s="8" t="s">
        <v>136</v>
      </c>
      <c r="G146" s="8" t="s">
        <v>336</v>
      </c>
      <c r="H146" s="10" t="s">
        <v>223</v>
      </c>
      <c r="I146" s="8" t="s">
        <v>860</v>
      </c>
      <c r="J146" s="8" t="s">
        <v>861</v>
      </c>
      <c r="K146" s="8" t="s">
        <v>160</v>
      </c>
      <c r="L146" s="79" t="s">
        <v>862</v>
      </c>
      <c r="M146" s="57" t="s">
        <v>863</v>
      </c>
      <c r="N146" s="11" t="s">
        <v>864</v>
      </c>
      <c r="O146" s="11" t="s">
        <v>865</v>
      </c>
      <c r="Q146" s="82" t="s">
        <v>850</v>
      </c>
      <c r="R146" s="8"/>
      <c r="S146" s="8"/>
      <c r="T146" s="8"/>
      <c r="U146" s="8"/>
      <c r="V146" s="8"/>
      <c r="W146" s="8"/>
      <c r="X146" s="8"/>
      <c r="Y146" s="13">
        <v>45601</v>
      </c>
      <c r="Z146" s="8" t="s">
        <v>668</v>
      </c>
      <c r="AA146" s="14" t="s">
        <v>866</v>
      </c>
      <c r="AB146" s="15" t="s">
        <v>867</v>
      </c>
      <c r="AD146">
        <f t="shared" si="2"/>
        <v>3</v>
      </c>
    </row>
    <row r="147" spans="1:30" ht="13" customHeight="1" x14ac:dyDescent="0.35">
      <c r="A147" s="7" t="s">
        <v>32</v>
      </c>
      <c r="B147" s="8" t="s">
        <v>33</v>
      </c>
      <c r="C147" s="8"/>
      <c r="E147" s="8" t="s">
        <v>868</v>
      </c>
      <c r="F147" s="8" t="s">
        <v>136</v>
      </c>
      <c r="G147" s="8" t="s">
        <v>36</v>
      </c>
      <c r="H147" s="10" t="s">
        <v>440</v>
      </c>
      <c r="I147" s="8" t="s">
        <v>869</v>
      </c>
      <c r="J147" s="8" t="s">
        <v>870</v>
      </c>
      <c r="K147" s="8" t="s">
        <v>40</v>
      </c>
      <c r="L147" s="56" t="s">
        <v>846</v>
      </c>
      <c r="M147" s="72" t="s">
        <v>847</v>
      </c>
      <c r="N147" s="11" t="s">
        <v>848</v>
      </c>
      <c r="O147" s="11" t="s">
        <v>871</v>
      </c>
      <c r="Q147" s="82" t="s">
        <v>850</v>
      </c>
      <c r="R147" s="8"/>
      <c r="S147" s="8"/>
      <c r="T147" s="8"/>
      <c r="U147" s="8"/>
      <c r="V147" s="8"/>
      <c r="W147" s="8"/>
      <c r="X147" s="8"/>
      <c r="Y147" s="13">
        <v>45609</v>
      </c>
      <c r="Z147" s="8" t="s">
        <v>228</v>
      </c>
      <c r="AA147" s="14" t="s">
        <v>872</v>
      </c>
      <c r="AD147">
        <f t="shared" si="2"/>
        <v>1</v>
      </c>
    </row>
    <row r="148" spans="1:30" ht="13" customHeight="1" x14ac:dyDescent="0.35">
      <c r="A148" s="7" t="s">
        <v>32</v>
      </c>
      <c r="B148" s="8" t="s">
        <v>33</v>
      </c>
      <c r="C148" s="8"/>
      <c r="E148" s="8" t="s">
        <v>873</v>
      </c>
      <c r="F148" s="8" t="s">
        <v>136</v>
      </c>
      <c r="G148" s="8" t="s">
        <v>36</v>
      </c>
      <c r="H148" s="10" t="s">
        <v>591</v>
      </c>
      <c r="I148" s="8" t="s">
        <v>874</v>
      </c>
      <c r="J148" s="8" t="s">
        <v>432</v>
      </c>
      <c r="L148" s="10" t="s">
        <v>875</v>
      </c>
      <c r="M148" s="10"/>
      <c r="N148" s="10"/>
      <c r="O148" s="11" t="s">
        <v>876</v>
      </c>
      <c r="Q148" s="82" t="s">
        <v>820</v>
      </c>
      <c r="R148" s="8"/>
      <c r="S148" s="8"/>
      <c r="T148" s="8"/>
      <c r="U148" s="8"/>
      <c r="V148" s="8"/>
      <c r="W148" s="8"/>
      <c r="X148" s="8"/>
      <c r="Y148" s="13">
        <v>45558</v>
      </c>
      <c r="Z148" s="8" t="s">
        <v>228</v>
      </c>
      <c r="AA148" s="14" t="s">
        <v>877</v>
      </c>
      <c r="AB148" s="12" t="s">
        <v>878</v>
      </c>
      <c r="AD148" t="str">
        <f t="shared" si="2"/>
        <v/>
      </c>
    </row>
    <row r="149" spans="1:30" ht="13" customHeight="1" x14ac:dyDescent="0.35">
      <c r="A149" s="7" t="s">
        <v>69</v>
      </c>
      <c r="B149" s="8" t="s">
        <v>879</v>
      </c>
      <c r="C149" s="8" t="s">
        <v>880</v>
      </c>
      <c r="E149" s="29" t="s">
        <v>881</v>
      </c>
      <c r="F149" s="9" t="s">
        <v>136</v>
      </c>
      <c r="H149" s="10" t="s">
        <v>882</v>
      </c>
      <c r="I149" s="8"/>
      <c r="L149" s="11" t="s">
        <v>883</v>
      </c>
      <c r="M149" s="11" t="s">
        <v>884</v>
      </c>
      <c r="N149" s="11" t="s">
        <v>885</v>
      </c>
      <c r="O149" s="31" t="s">
        <v>886</v>
      </c>
      <c r="Q149" s="84" t="s">
        <v>820</v>
      </c>
      <c r="S149" s="8"/>
      <c r="T149" s="8"/>
      <c r="X149" s="8"/>
      <c r="Z149" s="8" t="s">
        <v>228</v>
      </c>
      <c r="AA149" s="14" t="s">
        <v>887</v>
      </c>
      <c r="AB149" s="15" t="s">
        <v>888</v>
      </c>
      <c r="AD149">
        <f t="shared" si="2"/>
        <v>3</v>
      </c>
    </row>
    <row r="150" spans="1:30" ht="13" customHeight="1" x14ac:dyDescent="0.35">
      <c r="A150" s="7" t="s">
        <v>69</v>
      </c>
      <c r="B150" s="8" t="s">
        <v>33</v>
      </c>
      <c r="C150" s="8" t="s">
        <v>799</v>
      </c>
      <c r="E150" s="29" t="s">
        <v>881</v>
      </c>
      <c r="F150" s="9" t="s">
        <v>136</v>
      </c>
      <c r="H150" s="10" t="s">
        <v>882</v>
      </c>
      <c r="I150" s="8"/>
      <c r="L150" s="11" t="s">
        <v>883</v>
      </c>
      <c r="M150" s="11" t="s">
        <v>884</v>
      </c>
      <c r="N150" s="11" t="s">
        <v>885</v>
      </c>
      <c r="O150" s="31" t="s">
        <v>886</v>
      </c>
      <c r="Q150" s="84" t="s">
        <v>820</v>
      </c>
      <c r="S150" s="8"/>
      <c r="T150" s="8"/>
      <c r="X150" s="8"/>
      <c r="Z150" s="8" t="s">
        <v>228</v>
      </c>
      <c r="AA150" s="14" t="s">
        <v>889</v>
      </c>
      <c r="AB150" s="15" t="s">
        <v>888</v>
      </c>
      <c r="AD150">
        <f t="shared" si="2"/>
        <v>3</v>
      </c>
    </row>
    <row r="151" spans="1:30" ht="13" customHeight="1" x14ac:dyDescent="0.35">
      <c r="A151" s="7" t="s">
        <v>32</v>
      </c>
      <c r="B151" s="8" t="s">
        <v>890</v>
      </c>
      <c r="C151" s="8"/>
      <c r="E151" s="29" t="s">
        <v>891</v>
      </c>
      <c r="F151" s="9" t="s">
        <v>136</v>
      </c>
      <c r="G151" s="8" t="s">
        <v>892</v>
      </c>
      <c r="H151" s="10" t="s">
        <v>591</v>
      </c>
      <c r="I151" s="52" t="s">
        <v>893</v>
      </c>
      <c r="J151" s="8" t="s">
        <v>894</v>
      </c>
      <c r="K151" s="8" t="s">
        <v>160</v>
      </c>
      <c r="L151" s="11" t="s">
        <v>895</v>
      </c>
      <c r="M151" s="11" t="s">
        <v>896</v>
      </c>
      <c r="N151" s="11"/>
      <c r="O151" s="31" t="s">
        <v>897</v>
      </c>
      <c r="S151" s="8"/>
      <c r="T151" s="8"/>
      <c r="X151" s="8"/>
      <c r="Y151" s="13">
        <v>45558</v>
      </c>
      <c r="AA151" s="14" t="s">
        <v>898</v>
      </c>
      <c r="AB151" s="15" t="s">
        <v>899</v>
      </c>
      <c r="AD151">
        <f t="shared" si="2"/>
        <v>3</v>
      </c>
    </row>
    <row r="152" spans="1:30" ht="13" customHeight="1" x14ac:dyDescent="0.35">
      <c r="A152" s="7" t="s">
        <v>32</v>
      </c>
      <c r="B152" s="8" t="s">
        <v>33</v>
      </c>
      <c r="C152" s="8"/>
      <c r="E152" s="8" t="s">
        <v>900</v>
      </c>
      <c r="F152" s="8" t="s">
        <v>136</v>
      </c>
      <c r="G152" s="8" t="s">
        <v>336</v>
      </c>
      <c r="H152" s="10" t="s">
        <v>193</v>
      </c>
      <c r="I152" s="8" t="s">
        <v>901</v>
      </c>
      <c r="J152" s="8" t="s">
        <v>39</v>
      </c>
      <c r="L152" s="56" t="s">
        <v>902</v>
      </c>
      <c r="M152" s="72" t="s">
        <v>847</v>
      </c>
      <c r="N152" s="11" t="s">
        <v>848</v>
      </c>
      <c r="O152" s="11" t="s">
        <v>903</v>
      </c>
      <c r="Q152" s="82" t="s">
        <v>850</v>
      </c>
      <c r="R152" s="8"/>
      <c r="S152" s="8"/>
      <c r="T152" s="8"/>
      <c r="U152" s="8"/>
      <c r="V152" s="8"/>
      <c r="W152" s="8"/>
      <c r="X152" s="8"/>
      <c r="Y152" s="13">
        <v>45617</v>
      </c>
      <c r="AA152" s="14" t="s">
        <v>904</v>
      </c>
      <c r="AB152" s="15" t="s">
        <v>905</v>
      </c>
      <c r="AD152">
        <f t="shared" si="2"/>
        <v>1</v>
      </c>
    </row>
    <row r="153" spans="1:30" ht="13" customHeight="1" x14ac:dyDescent="0.35">
      <c r="A153" s="7" t="s">
        <v>69</v>
      </c>
      <c r="B153" s="8" t="s">
        <v>879</v>
      </c>
      <c r="C153" s="8" t="s">
        <v>880</v>
      </c>
      <c r="E153" s="29" t="s">
        <v>906</v>
      </c>
      <c r="F153" s="9" t="s">
        <v>136</v>
      </c>
      <c r="H153" s="10" t="s">
        <v>882</v>
      </c>
      <c r="I153" s="8"/>
      <c r="L153" s="11" t="s">
        <v>907</v>
      </c>
      <c r="M153" s="11" t="s">
        <v>908</v>
      </c>
      <c r="N153" s="11" t="s">
        <v>909</v>
      </c>
      <c r="O153" s="31" t="s">
        <v>910</v>
      </c>
      <c r="S153" s="8"/>
      <c r="T153" s="8"/>
      <c r="X153" s="8"/>
      <c r="Z153" s="8" t="s">
        <v>911</v>
      </c>
      <c r="AA153" s="14" t="s">
        <v>912</v>
      </c>
      <c r="AB153" s="15" t="s">
        <v>913</v>
      </c>
      <c r="AD153">
        <f t="shared" si="2"/>
        <v>3</v>
      </c>
    </row>
    <row r="154" spans="1:30" ht="13" customHeight="1" x14ac:dyDescent="0.35">
      <c r="A154" s="7" t="s">
        <v>69</v>
      </c>
      <c r="B154" s="8" t="s">
        <v>33</v>
      </c>
      <c r="C154" s="8" t="s">
        <v>799</v>
      </c>
      <c r="E154" s="29" t="s">
        <v>906</v>
      </c>
      <c r="F154" s="9" t="s">
        <v>136</v>
      </c>
      <c r="H154" s="10" t="s">
        <v>882</v>
      </c>
      <c r="I154" s="8"/>
      <c r="L154" s="11" t="s">
        <v>907</v>
      </c>
      <c r="M154" s="11" t="s">
        <v>908</v>
      </c>
      <c r="N154" s="11" t="s">
        <v>909</v>
      </c>
      <c r="O154" s="31" t="s">
        <v>910</v>
      </c>
      <c r="S154" s="8"/>
      <c r="T154" s="8"/>
      <c r="X154" s="8"/>
      <c r="Z154" s="8" t="s">
        <v>911</v>
      </c>
      <c r="AA154" s="14" t="s">
        <v>914</v>
      </c>
      <c r="AB154" s="15" t="s">
        <v>913</v>
      </c>
      <c r="AD154">
        <f t="shared" si="2"/>
        <v>3</v>
      </c>
    </row>
    <row r="155" spans="1:30" ht="13" customHeight="1" x14ac:dyDescent="0.35">
      <c r="A155" s="7" t="s">
        <v>32</v>
      </c>
      <c r="B155" s="8" t="s">
        <v>33</v>
      </c>
      <c r="C155" s="8"/>
      <c r="E155" s="29" t="s">
        <v>915</v>
      </c>
      <c r="F155" s="9" t="s">
        <v>136</v>
      </c>
      <c r="G155" s="8" t="s">
        <v>336</v>
      </c>
      <c r="H155" s="10" t="s">
        <v>223</v>
      </c>
      <c r="I155" s="8" t="s">
        <v>916</v>
      </c>
      <c r="J155" s="8" t="s">
        <v>917</v>
      </c>
      <c r="K155" s="8" t="s">
        <v>40</v>
      </c>
      <c r="L155" s="11" t="s">
        <v>918</v>
      </c>
      <c r="M155" s="11" t="s">
        <v>919</v>
      </c>
      <c r="N155" s="11" t="s">
        <v>920</v>
      </c>
      <c r="O155" s="31" t="s">
        <v>921</v>
      </c>
      <c r="S155" s="8"/>
      <c r="T155" s="8"/>
      <c r="W155" s="29" t="s">
        <v>274</v>
      </c>
      <c r="X155" s="8"/>
      <c r="Y155" s="13">
        <v>45558</v>
      </c>
      <c r="AA155" s="14" t="s">
        <v>922</v>
      </c>
      <c r="AB155" s="15" t="s">
        <v>923</v>
      </c>
      <c r="AD155">
        <f t="shared" si="2"/>
        <v>3</v>
      </c>
    </row>
    <row r="156" spans="1:30" ht="13" customHeight="1" x14ac:dyDescent="0.35">
      <c r="A156" s="7" t="s">
        <v>32</v>
      </c>
      <c r="B156" s="8" t="s">
        <v>33</v>
      </c>
      <c r="C156" s="8"/>
      <c r="E156" s="29" t="s">
        <v>924</v>
      </c>
      <c r="F156" s="9" t="s">
        <v>136</v>
      </c>
      <c r="G156" s="8" t="s">
        <v>336</v>
      </c>
      <c r="H156" s="10" t="s">
        <v>223</v>
      </c>
      <c r="I156" s="8" t="s">
        <v>925</v>
      </c>
      <c r="J156" s="8" t="s">
        <v>926</v>
      </c>
      <c r="K156" s="8" t="s">
        <v>40</v>
      </c>
      <c r="L156" s="11" t="s">
        <v>927</v>
      </c>
      <c r="M156" s="11" t="s">
        <v>928</v>
      </c>
      <c r="N156" s="11" t="s">
        <v>929</v>
      </c>
      <c r="O156" s="31" t="s">
        <v>930</v>
      </c>
      <c r="S156" s="8"/>
      <c r="T156" s="8"/>
      <c r="W156" s="29" t="s">
        <v>274</v>
      </c>
      <c r="X156" s="8"/>
      <c r="Y156" s="13">
        <v>45636</v>
      </c>
      <c r="Z156" s="8" t="s">
        <v>802</v>
      </c>
      <c r="AA156" s="14" t="s">
        <v>931</v>
      </c>
      <c r="AB156" s="15" t="s">
        <v>932</v>
      </c>
      <c r="AD156">
        <f t="shared" si="2"/>
        <v>3</v>
      </c>
    </row>
    <row r="157" spans="1:30" ht="13" customHeight="1" x14ac:dyDescent="0.35">
      <c r="A157" s="7" t="s">
        <v>32</v>
      </c>
      <c r="B157" s="8" t="s">
        <v>438</v>
      </c>
      <c r="C157" s="8"/>
      <c r="E157" s="8" t="s">
        <v>933</v>
      </c>
      <c r="F157" s="8" t="s">
        <v>136</v>
      </c>
      <c r="G157" s="8" t="s">
        <v>336</v>
      </c>
      <c r="H157" s="10" t="s">
        <v>440</v>
      </c>
      <c r="I157" s="8" t="s">
        <v>934</v>
      </c>
      <c r="J157" s="8" t="s">
        <v>432</v>
      </c>
      <c r="K157" s="8" t="s">
        <v>40</v>
      </c>
      <c r="L157" s="72" t="s">
        <v>935</v>
      </c>
      <c r="M157" s="57" t="s">
        <v>936</v>
      </c>
      <c r="N157" s="57" t="s">
        <v>937</v>
      </c>
      <c r="O157" s="11" t="s">
        <v>938</v>
      </c>
      <c r="Q157" s="8"/>
      <c r="R157" s="8"/>
      <c r="S157" s="8"/>
      <c r="T157" s="8"/>
      <c r="U157" s="8"/>
      <c r="V157" s="8"/>
      <c r="W157" s="8"/>
      <c r="X157" s="8"/>
      <c r="Y157" s="13">
        <v>45616</v>
      </c>
      <c r="Z157" s="8" t="s">
        <v>802</v>
      </c>
      <c r="AA157" s="14" t="s">
        <v>939</v>
      </c>
      <c r="AB157" s="15" t="s">
        <v>940</v>
      </c>
      <c r="AD157">
        <f t="shared" si="2"/>
        <v>4</v>
      </c>
    </row>
    <row r="158" spans="1:30" ht="13" customHeight="1" x14ac:dyDescent="0.35">
      <c r="A158" s="7" t="s">
        <v>32</v>
      </c>
      <c r="B158" s="8" t="s">
        <v>438</v>
      </c>
      <c r="C158" s="8"/>
      <c r="E158" s="8" t="s">
        <v>933</v>
      </c>
      <c r="F158" s="8" t="s">
        <v>136</v>
      </c>
      <c r="G158" s="8" t="s">
        <v>336</v>
      </c>
      <c r="H158" s="10" t="s">
        <v>440</v>
      </c>
      <c r="I158" s="8" t="s">
        <v>941</v>
      </c>
      <c r="J158" s="8" t="s">
        <v>942</v>
      </c>
      <c r="K158" s="8" t="s">
        <v>40</v>
      </c>
      <c r="L158" s="72" t="s">
        <v>935</v>
      </c>
      <c r="M158" s="57" t="s">
        <v>936</v>
      </c>
      <c r="N158" s="57" t="s">
        <v>943</v>
      </c>
      <c r="O158" s="11" t="s">
        <v>938</v>
      </c>
      <c r="Q158" s="8"/>
      <c r="R158" s="8"/>
      <c r="S158" s="8"/>
      <c r="T158" s="8"/>
      <c r="U158" s="8"/>
      <c r="V158" s="8"/>
      <c r="W158" s="8"/>
      <c r="X158" s="8"/>
      <c r="Y158" s="13">
        <v>45616</v>
      </c>
      <c r="Z158" s="8" t="s">
        <v>802</v>
      </c>
      <c r="AA158" s="14" t="s">
        <v>944</v>
      </c>
      <c r="AB158" s="15" t="s">
        <v>945</v>
      </c>
      <c r="AD158">
        <f t="shared" si="2"/>
        <v>4</v>
      </c>
    </row>
    <row r="159" spans="1:30" ht="13" customHeight="1" x14ac:dyDescent="0.35">
      <c r="A159" s="7" t="s">
        <v>32</v>
      </c>
      <c r="B159" s="8" t="s">
        <v>33</v>
      </c>
      <c r="C159" s="8"/>
      <c r="E159" s="29" t="s">
        <v>946</v>
      </c>
      <c r="F159" s="9" t="s">
        <v>136</v>
      </c>
      <c r="G159" s="8" t="s">
        <v>36</v>
      </c>
      <c r="H159" s="10" t="s">
        <v>193</v>
      </c>
      <c r="I159" s="8" t="s">
        <v>947</v>
      </c>
      <c r="J159" s="8" t="s">
        <v>432</v>
      </c>
      <c r="K159" s="8" t="s">
        <v>40</v>
      </c>
      <c r="L159" s="11" t="s">
        <v>948</v>
      </c>
      <c r="M159" s="11" t="s">
        <v>949</v>
      </c>
      <c r="N159" s="11" t="s">
        <v>950</v>
      </c>
      <c r="O159" s="31" t="s">
        <v>951</v>
      </c>
      <c r="S159" s="8"/>
      <c r="T159" s="8"/>
      <c r="W159" s="29" t="s">
        <v>274</v>
      </c>
      <c r="X159" s="8"/>
      <c r="Y159" s="13">
        <v>45581</v>
      </c>
      <c r="AA159" s="14" t="s">
        <v>952</v>
      </c>
      <c r="AB159" s="15" t="s">
        <v>953</v>
      </c>
      <c r="AD159">
        <f t="shared" si="2"/>
        <v>1</v>
      </c>
    </row>
    <row r="160" spans="1:30" ht="13" customHeight="1" x14ac:dyDescent="0.35">
      <c r="A160" s="7" t="s">
        <v>32</v>
      </c>
      <c r="B160" s="8" t="s">
        <v>33</v>
      </c>
      <c r="C160" s="8"/>
      <c r="E160" s="29" t="s">
        <v>946</v>
      </c>
      <c r="F160" s="9" t="s">
        <v>136</v>
      </c>
      <c r="G160" s="8" t="s">
        <v>36</v>
      </c>
      <c r="H160" s="10" t="s">
        <v>193</v>
      </c>
      <c r="I160" s="8" t="s">
        <v>954</v>
      </c>
      <c r="J160" s="8" t="s">
        <v>432</v>
      </c>
      <c r="K160" s="8" t="s">
        <v>40</v>
      </c>
      <c r="L160" s="11" t="s">
        <v>948</v>
      </c>
      <c r="M160" s="11" t="s">
        <v>949</v>
      </c>
      <c r="N160" s="11" t="s">
        <v>950</v>
      </c>
      <c r="O160" s="31" t="s">
        <v>951</v>
      </c>
      <c r="S160" s="8"/>
      <c r="T160" s="8"/>
      <c r="W160" s="29" t="s">
        <v>274</v>
      </c>
      <c r="X160" s="8"/>
      <c r="Y160" s="13">
        <v>45581</v>
      </c>
      <c r="AA160" s="14" t="s">
        <v>955</v>
      </c>
      <c r="AB160" s="15" t="s">
        <v>956</v>
      </c>
      <c r="AD160">
        <f t="shared" si="2"/>
        <v>1</v>
      </c>
    </row>
    <row r="161" spans="1:30" ht="13" customHeight="1" x14ac:dyDescent="0.35">
      <c r="A161" s="7" t="s">
        <v>69</v>
      </c>
      <c r="B161" s="8" t="s">
        <v>879</v>
      </c>
      <c r="C161" s="8" t="s">
        <v>880</v>
      </c>
      <c r="E161" s="29" t="s">
        <v>957</v>
      </c>
      <c r="F161" s="9" t="s">
        <v>103</v>
      </c>
      <c r="I161" s="8"/>
      <c r="L161" s="11" t="s">
        <v>958</v>
      </c>
      <c r="M161" s="11" t="s">
        <v>959</v>
      </c>
      <c r="N161" s="11"/>
      <c r="O161" s="31" t="s">
        <v>960</v>
      </c>
      <c r="S161" s="8"/>
      <c r="T161" s="8"/>
      <c r="X161" s="8"/>
      <c r="AA161" s="14" t="s">
        <v>961</v>
      </c>
      <c r="AB161" s="15" t="s">
        <v>810</v>
      </c>
      <c r="AD161">
        <f t="shared" si="2"/>
        <v>1</v>
      </c>
    </row>
    <row r="162" spans="1:30" ht="13" customHeight="1" x14ac:dyDescent="0.35">
      <c r="A162" s="7" t="s">
        <v>69</v>
      </c>
      <c r="B162" s="8" t="s">
        <v>33</v>
      </c>
      <c r="C162" s="8" t="s">
        <v>799</v>
      </c>
      <c r="E162" s="29" t="s">
        <v>957</v>
      </c>
      <c r="F162" s="9" t="s">
        <v>103</v>
      </c>
      <c r="I162" s="8"/>
      <c r="L162" s="11" t="s">
        <v>958</v>
      </c>
      <c r="M162" s="11" t="s">
        <v>959</v>
      </c>
      <c r="N162" s="11"/>
      <c r="O162" s="31" t="s">
        <v>960</v>
      </c>
      <c r="S162" s="8"/>
      <c r="T162" s="8"/>
      <c r="X162" s="8"/>
      <c r="AA162" s="14" t="s">
        <v>962</v>
      </c>
      <c r="AB162" s="15" t="s">
        <v>810</v>
      </c>
      <c r="AD162">
        <f t="shared" si="2"/>
        <v>1</v>
      </c>
    </row>
    <row r="163" spans="1:30" ht="13" customHeight="1" x14ac:dyDescent="0.35">
      <c r="A163" s="7" t="s">
        <v>69</v>
      </c>
      <c r="B163" s="8" t="s">
        <v>879</v>
      </c>
      <c r="C163" s="8" t="s">
        <v>880</v>
      </c>
      <c r="E163" s="29" t="s">
        <v>963</v>
      </c>
      <c r="F163" s="9" t="s">
        <v>136</v>
      </c>
      <c r="H163" s="10" t="s">
        <v>882</v>
      </c>
      <c r="I163" s="8"/>
      <c r="L163" s="11" t="s">
        <v>964</v>
      </c>
      <c r="M163" s="11" t="s">
        <v>965</v>
      </c>
      <c r="N163" s="11"/>
      <c r="O163" s="31" t="s">
        <v>966</v>
      </c>
      <c r="S163" s="8"/>
      <c r="T163" s="8"/>
      <c r="X163" s="8"/>
      <c r="Z163" s="8" t="s">
        <v>911</v>
      </c>
      <c r="AA163" s="14" t="s">
        <v>967</v>
      </c>
      <c r="AB163" s="15" t="s">
        <v>968</v>
      </c>
      <c r="AD163">
        <f t="shared" si="2"/>
        <v>1</v>
      </c>
    </row>
    <row r="164" spans="1:30" ht="13" customHeight="1" x14ac:dyDescent="0.35">
      <c r="A164" s="7" t="s">
        <v>69</v>
      </c>
      <c r="B164" s="8" t="s">
        <v>33</v>
      </c>
      <c r="C164" s="8" t="s">
        <v>799</v>
      </c>
      <c r="E164" s="29" t="s">
        <v>963</v>
      </c>
      <c r="F164" s="9" t="s">
        <v>136</v>
      </c>
      <c r="H164" s="10" t="s">
        <v>882</v>
      </c>
      <c r="I164" s="8"/>
      <c r="L164" s="11" t="s">
        <v>964</v>
      </c>
      <c r="M164" s="11" t="s">
        <v>965</v>
      </c>
      <c r="N164" s="11"/>
      <c r="O164" s="31" t="s">
        <v>966</v>
      </c>
      <c r="S164" s="8"/>
      <c r="T164" s="8"/>
      <c r="X164" s="8"/>
      <c r="Z164" s="8" t="s">
        <v>911</v>
      </c>
      <c r="AA164" s="14" t="s">
        <v>969</v>
      </c>
      <c r="AB164" s="15" t="s">
        <v>968</v>
      </c>
      <c r="AD164">
        <f t="shared" si="2"/>
        <v>1</v>
      </c>
    </row>
    <row r="165" spans="1:30" ht="13" customHeight="1" x14ac:dyDescent="0.35">
      <c r="A165" s="7" t="s">
        <v>32</v>
      </c>
      <c r="B165" s="8" t="s">
        <v>33</v>
      </c>
      <c r="C165" s="8"/>
      <c r="E165" s="8" t="s">
        <v>970</v>
      </c>
      <c r="F165" s="8" t="s">
        <v>136</v>
      </c>
      <c r="G165" s="8" t="s">
        <v>36</v>
      </c>
      <c r="H165" s="10" t="s">
        <v>193</v>
      </c>
      <c r="I165" s="8" t="s">
        <v>735</v>
      </c>
      <c r="J165" s="8" t="s">
        <v>106</v>
      </c>
      <c r="L165" s="79" t="s">
        <v>971</v>
      </c>
      <c r="M165" s="57" t="s">
        <v>972</v>
      </c>
      <c r="N165" s="11" t="s">
        <v>973</v>
      </c>
      <c r="O165" s="55" t="s">
        <v>974</v>
      </c>
      <c r="Q165" s="82" t="s">
        <v>820</v>
      </c>
      <c r="R165" s="8"/>
      <c r="S165" s="8"/>
      <c r="T165" s="8"/>
      <c r="U165" s="8"/>
      <c r="V165" s="8"/>
      <c r="W165" s="8"/>
      <c r="X165" s="8"/>
      <c r="Y165" s="13">
        <v>45583</v>
      </c>
      <c r="Z165" s="8" t="s">
        <v>802</v>
      </c>
      <c r="AA165" s="14" t="s">
        <v>975</v>
      </c>
      <c r="AB165" s="12" t="s">
        <v>976</v>
      </c>
      <c r="AD165">
        <f t="shared" si="2"/>
        <v>2</v>
      </c>
    </row>
    <row r="166" spans="1:30" ht="13" customHeight="1" x14ac:dyDescent="0.35">
      <c r="A166" s="7" t="s">
        <v>32</v>
      </c>
      <c r="B166" s="8" t="s">
        <v>33</v>
      </c>
      <c r="C166" s="8"/>
      <c r="E166" s="29" t="s">
        <v>977</v>
      </c>
      <c r="F166" s="9" t="s">
        <v>136</v>
      </c>
      <c r="G166" s="8" t="s">
        <v>36</v>
      </c>
      <c r="H166" s="10" t="s">
        <v>193</v>
      </c>
      <c r="I166" s="85" t="s">
        <v>978</v>
      </c>
      <c r="J166" s="8" t="s">
        <v>432</v>
      </c>
      <c r="K166" s="8" t="s">
        <v>40</v>
      </c>
      <c r="L166" s="11" t="s">
        <v>979</v>
      </c>
      <c r="M166" s="11" t="s">
        <v>980</v>
      </c>
      <c r="N166" s="11" t="s">
        <v>981</v>
      </c>
      <c r="O166" s="31" t="s">
        <v>982</v>
      </c>
      <c r="S166" s="33"/>
      <c r="T166" s="33"/>
      <c r="X166" s="86"/>
      <c r="Y166" s="8"/>
      <c r="AA166" s="14" t="s">
        <v>983</v>
      </c>
      <c r="AB166" s="15" t="s">
        <v>984</v>
      </c>
      <c r="AD166">
        <f t="shared" si="2"/>
        <v>1</v>
      </c>
    </row>
    <row r="167" spans="1:30" ht="13" customHeight="1" x14ac:dyDescent="0.35">
      <c r="A167" s="7" t="s">
        <v>32</v>
      </c>
      <c r="B167" s="8" t="s">
        <v>33</v>
      </c>
      <c r="C167" s="8"/>
      <c r="E167" s="8" t="s">
        <v>985</v>
      </c>
      <c r="F167" s="8" t="s">
        <v>136</v>
      </c>
      <c r="G167" s="8" t="s">
        <v>336</v>
      </c>
      <c r="H167" s="10" t="s">
        <v>223</v>
      </c>
      <c r="I167" s="8" t="s">
        <v>986</v>
      </c>
      <c r="J167" s="8" t="s">
        <v>987</v>
      </c>
      <c r="K167" s="8" t="s">
        <v>40</v>
      </c>
      <c r="L167" s="79" t="s">
        <v>988</v>
      </c>
      <c r="M167" s="57" t="s">
        <v>928</v>
      </c>
      <c r="N167" s="11" t="s">
        <v>989</v>
      </c>
      <c r="O167" s="11" t="s">
        <v>990</v>
      </c>
      <c r="Q167" s="8"/>
      <c r="R167" s="8"/>
      <c r="S167" s="8"/>
      <c r="T167" s="8"/>
      <c r="U167" s="8"/>
      <c r="V167" s="8"/>
      <c r="W167" s="8"/>
      <c r="X167" s="8"/>
      <c r="Y167" s="13">
        <v>45636</v>
      </c>
      <c r="Z167" s="8" t="s">
        <v>802</v>
      </c>
      <c r="AA167" s="14" t="s">
        <v>991</v>
      </c>
      <c r="AB167" s="15" t="s">
        <v>992</v>
      </c>
      <c r="AD167">
        <f t="shared" si="2"/>
        <v>3</v>
      </c>
    </row>
    <row r="168" spans="1:30" ht="13" customHeight="1" x14ac:dyDescent="0.35">
      <c r="A168" s="7" t="s">
        <v>32</v>
      </c>
      <c r="B168" s="8" t="s">
        <v>33</v>
      </c>
      <c r="C168" s="8"/>
      <c r="E168" s="8" t="s">
        <v>993</v>
      </c>
      <c r="F168" s="8" t="s">
        <v>136</v>
      </c>
      <c r="G168" s="8" t="s">
        <v>36</v>
      </c>
      <c r="H168" s="10" t="s">
        <v>193</v>
      </c>
      <c r="I168" s="8" t="s">
        <v>994</v>
      </c>
      <c r="J168" s="8" t="s">
        <v>432</v>
      </c>
      <c r="K168" s="8" t="s">
        <v>40</v>
      </c>
      <c r="L168" s="79" t="s">
        <v>995</v>
      </c>
      <c r="M168" s="57" t="s">
        <v>996</v>
      </c>
      <c r="N168" s="57" t="s">
        <v>997</v>
      </c>
      <c r="O168" s="55" t="s">
        <v>998</v>
      </c>
      <c r="Q168" s="8"/>
      <c r="R168" s="8"/>
      <c r="S168" s="8"/>
      <c r="T168" s="8"/>
      <c r="U168" s="8"/>
      <c r="V168" s="8"/>
      <c r="W168" s="8"/>
      <c r="X168" s="8"/>
      <c r="Y168" s="13">
        <v>45583</v>
      </c>
      <c r="AA168" s="14" t="s">
        <v>999</v>
      </c>
      <c r="AB168" s="15" t="s">
        <v>1000</v>
      </c>
      <c r="AD168">
        <f t="shared" si="2"/>
        <v>2</v>
      </c>
    </row>
    <row r="169" spans="1:30" ht="13" customHeight="1" x14ac:dyDescent="0.35">
      <c r="A169" s="7" t="s">
        <v>32</v>
      </c>
      <c r="B169" s="8" t="s">
        <v>33</v>
      </c>
      <c r="C169" s="8"/>
      <c r="E169" s="8" t="s">
        <v>1001</v>
      </c>
      <c r="F169" s="9" t="s">
        <v>136</v>
      </c>
      <c r="G169" s="8" t="s">
        <v>36</v>
      </c>
      <c r="H169" s="10" t="s">
        <v>37</v>
      </c>
      <c r="I169" s="8" t="s">
        <v>1002</v>
      </c>
      <c r="J169" s="8" t="s">
        <v>432</v>
      </c>
      <c r="K169" s="8" t="s">
        <v>40</v>
      </c>
      <c r="L169" s="10" t="s">
        <v>1003</v>
      </c>
      <c r="M169" s="11" t="s">
        <v>1004</v>
      </c>
      <c r="N169" s="11" t="s">
        <v>1005</v>
      </c>
      <c r="O169" s="11" t="s">
        <v>1006</v>
      </c>
      <c r="Q169" s="8"/>
      <c r="R169" s="8"/>
      <c r="S169" s="8"/>
      <c r="T169" s="8"/>
      <c r="U169" s="8"/>
      <c r="V169" s="8"/>
      <c r="W169" s="8"/>
      <c r="X169" s="8"/>
      <c r="Y169" s="13">
        <v>45583</v>
      </c>
      <c r="AA169" s="14" t="s">
        <v>1007</v>
      </c>
      <c r="AB169" s="15" t="s">
        <v>1008</v>
      </c>
      <c r="AD169">
        <f t="shared" si="2"/>
        <v>3</v>
      </c>
    </row>
    <row r="170" spans="1:30" ht="13" customHeight="1" x14ac:dyDescent="0.35">
      <c r="A170" s="7" t="s">
        <v>32</v>
      </c>
      <c r="B170" s="8" t="s">
        <v>33</v>
      </c>
      <c r="C170" s="8"/>
      <c r="E170" s="8" t="s">
        <v>1001</v>
      </c>
      <c r="F170" s="9" t="s">
        <v>136</v>
      </c>
      <c r="G170" s="8" t="s">
        <v>36</v>
      </c>
      <c r="H170" s="10" t="s">
        <v>37</v>
      </c>
      <c r="I170" s="8" t="s">
        <v>1009</v>
      </c>
      <c r="J170" s="8" t="s">
        <v>432</v>
      </c>
      <c r="K170" s="8" t="s">
        <v>40</v>
      </c>
      <c r="L170" s="10" t="s">
        <v>1003</v>
      </c>
      <c r="M170" s="11" t="s">
        <v>1004</v>
      </c>
      <c r="N170" s="11" t="s">
        <v>1005</v>
      </c>
      <c r="O170" s="11" t="s">
        <v>1006</v>
      </c>
      <c r="Q170" s="8"/>
      <c r="R170" s="8"/>
      <c r="S170" s="8"/>
      <c r="T170" s="8"/>
      <c r="U170" s="8"/>
      <c r="V170" s="8"/>
      <c r="W170" s="8"/>
      <c r="X170" s="8"/>
      <c r="Y170" s="13">
        <v>45583</v>
      </c>
      <c r="AA170" s="14" t="s">
        <v>1010</v>
      </c>
      <c r="AB170" s="15" t="s">
        <v>1011</v>
      </c>
      <c r="AD170">
        <f t="shared" si="2"/>
        <v>3</v>
      </c>
    </row>
    <row r="171" spans="1:30" ht="13" customHeight="1" x14ac:dyDescent="0.35">
      <c r="A171" s="7" t="s">
        <v>32</v>
      </c>
      <c r="B171" s="8" t="s">
        <v>33</v>
      </c>
      <c r="C171" s="8"/>
      <c r="E171" s="8" t="s">
        <v>1012</v>
      </c>
      <c r="F171" s="9" t="s">
        <v>136</v>
      </c>
      <c r="G171" s="8" t="s">
        <v>36</v>
      </c>
      <c r="H171" s="10" t="s">
        <v>37</v>
      </c>
      <c r="I171" s="8" t="s">
        <v>1013</v>
      </c>
      <c r="J171" s="8" t="s">
        <v>432</v>
      </c>
      <c r="K171" s="8" t="s">
        <v>40</v>
      </c>
      <c r="L171" s="10" t="s">
        <v>1003</v>
      </c>
      <c r="M171" s="11" t="s">
        <v>1004</v>
      </c>
      <c r="N171" s="11" t="s">
        <v>1005</v>
      </c>
      <c r="O171" s="11" t="s">
        <v>1006</v>
      </c>
      <c r="Q171" s="8"/>
      <c r="R171" s="8"/>
      <c r="S171" s="8"/>
      <c r="T171" s="8"/>
      <c r="U171" s="8"/>
      <c r="V171" s="8"/>
      <c r="W171" s="8"/>
      <c r="X171" s="8"/>
      <c r="Y171" s="13">
        <v>45583</v>
      </c>
      <c r="AA171" s="14" t="s">
        <v>1014</v>
      </c>
      <c r="AB171" s="15" t="s">
        <v>1015</v>
      </c>
      <c r="AD171">
        <f t="shared" si="2"/>
        <v>3</v>
      </c>
    </row>
    <row r="172" spans="1:30" ht="13" customHeight="1" x14ac:dyDescent="0.35">
      <c r="A172" s="7" t="s">
        <v>32</v>
      </c>
      <c r="B172" s="8" t="s">
        <v>33</v>
      </c>
      <c r="C172" s="8"/>
      <c r="E172" s="8" t="s">
        <v>1016</v>
      </c>
      <c r="F172" s="8" t="s">
        <v>136</v>
      </c>
      <c r="G172" s="8" t="s">
        <v>36</v>
      </c>
      <c r="H172" s="10" t="s">
        <v>193</v>
      </c>
      <c r="I172" s="8" t="s">
        <v>1017</v>
      </c>
      <c r="K172" s="8" t="s">
        <v>40</v>
      </c>
      <c r="L172" s="56" t="s">
        <v>321</v>
      </c>
      <c r="M172" s="57" t="s">
        <v>1018</v>
      </c>
      <c r="N172" s="11" t="s">
        <v>1019</v>
      </c>
      <c r="O172" s="11" t="s">
        <v>1020</v>
      </c>
      <c r="Q172" s="8"/>
      <c r="R172" s="8"/>
      <c r="S172" s="8"/>
      <c r="T172" s="8"/>
      <c r="U172" s="8"/>
      <c r="V172" s="8"/>
      <c r="W172" s="8"/>
      <c r="X172" s="8"/>
      <c r="Y172" s="13">
        <v>45583</v>
      </c>
      <c r="Z172" s="8" t="s">
        <v>228</v>
      </c>
      <c r="AA172" s="14" t="s">
        <v>1021</v>
      </c>
      <c r="AB172" s="15" t="s">
        <v>1022</v>
      </c>
      <c r="AD172">
        <f t="shared" si="2"/>
        <v>4</v>
      </c>
    </row>
    <row r="173" spans="1:30" ht="13" customHeight="1" x14ac:dyDescent="0.35">
      <c r="A173" s="7" t="s">
        <v>32</v>
      </c>
      <c r="B173" s="8" t="s">
        <v>33</v>
      </c>
      <c r="C173" s="8"/>
      <c r="E173" s="8" t="s">
        <v>1023</v>
      </c>
      <c r="F173" s="8" t="s">
        <v>136</v>
      </c>
      <c r="G173" s="8" t="s">
        <v>336</v>
      </c>
      <c r="H173" s="10" t="s">
        <v>795</v>
      </c>
      <c r="I173" s="8" t="s">
        <v>1024</v>
      </c>
      <c r="L173" s="56" t="s">
        <v>1025</v>
      </c>
      <c r="M173" s="57" t="s">
        <v>1026</v>
      </c>
      <c r="N173" s="57" t="s">
        <v>1027</v>
      </c>
      <c r="O173" s="11" t="s">
        <v>1028</v>
      </c>
      <c r="Q173" s="8"/>
      <c r="R173" s="8"/>
      <c r="S173" s="8"/>
      <c r="T173" s="8"/>
      <c r="U173" s="8"/>
      <c r="V173" s="8"/>
      <c r="W173" s="8"/>
      <c r="X173" s="8"/>
      <c r="Y173" s="13">
        <v>45526</v>
      </c>
      <c r="Z173" s="8" t="s">
        <v>228</v>
      </c>
      <c r="AA173" s="14" t="s">
        <v>1029</v>
      </c>
      <c r="AB173" s="12" t="s">
        <v>1030</v>
      </c>
      <c r="AD173">
        <f t="shared" si="2"/>
        <v>3</v>
      </c>
    </row>
    <row r="174" spans="1:30" ht="13" customHeight="1" x14ac:dyDescent="0.35">
      <c r="A174" s="7" t="s">
        <v>32</v>
      </c>
      <c r="B174" s="8" t="s">
        <v>33</v>
      </c>
      <c r="C174" s="8"/>
      <c r="E174" s="8" t="s">
        <v>1031</v>
      </c>
      <c r="F174" s="8" t="s">
        <v>136</v>
      </c>
      <c r="G174" s="8" t="s">
        <v>36</v>
      </c>
      <c r="H174" s="10" t="s">
        <v>193</v>
      </c>
      <c r="I174" s="8" t="s">
        <v>1032</v>
      </c>
      <c r="J174" s="8" t="s">
        <v>195</v>
      </c>
      <c r="K174" s="8" t="s">
        <v>40</v>
      </c>
      <c r="L174" s="79" t="s">
        <v>1033</v>
      </c>
      <c r="M174" s="57" t="s">
        <v>1034</v>
      </c>
      <c r="N174" s="11" t="s">
        <v>1035</v>
      </c>
      <c r="O174" s="11" t="s">
        <v>1036</v>
      </c>
      <c r="Q174" s="8"/>
      <c r="R174" s="8"/>
      <c r="S174" s="8"/>
      <c r="T174" s="8"/>
      <c r="U174" s="8"/>
      <c r="V174" s="8"/>
      <c r="W174" s="8"/>
      <c r="X174" s="8"/>
      <c r="Y174" s="13">
        <v>45586</v>
      </c>
      <c r="Z174" s="8" t="s">
        <v>228</v>
      </c>
      <c r="AA174" s="14" t="s">
        <v>1037</v>
      </c>
      <c r="AB174" s="15" t="s">
        <v>1038</v>
      </c>
      <c r="AD174">
        <f t="shared" si="2"/>
        <v>6</v>
      </c>
    </row>
    <row r="175" spans="1:30" ht="13" customHeight="1" x14ac:dyDescent="0.35">
      <c r="A175" s="7" t="s">
        <v>32</v>
      </c>
      <c r="B175" s="8" t="s">
        <v>33</v>
      </c>
      <c r="C175" s="8"/>
      <c r="E175" s="8" t="s">
        <v>1031</v>
      </c>
      <c r="F175" s="8" t="s">
        <v>136</v>
      </c>
      <c r="G175" s="8" t="s">
        <v>36</v>
      </c>
      <c r="H175" s="10" t="s">
        <v>193</v>
      </c>
      <c r="I175" s="8" t="s">
        <v>1039</v>
      </c>
      <c r="J175" s="8" t="s">
        <v>432</v>
      </c>
      <c r="K175" s="8" t="s">
        <v>40</v>
      </c>
      <c r="L175" s="79" t="s">
        <v>1033</v>
      </c>
      <c r="M175" s="57" t="s">
        <v>1034</v>
      </c>
      <c r="N175" s="11" t="s">
        <v>1035</v>
      </c>
      <c r="O175" s="11" t="s">
        <v>1036</v>
      </c>
      <c r="Q175" s="8"/>
      <c r="R175" s="8"/>
      <c r="S175" s="8"/>
      <c r="T175" s="8"/>
      <c r="U175" s="8"/>
      <c r="V175" s="8"/>
      <c r="W175" s="8"/>
      <c r="X175" s="8"/>
      <c r="Y175" s="13">
        <v>45586</v>
      </c>
      <c r="Z175" s="8" t="s">
        <v>228</v>
      </c>
      <c r="AA175" s="14" t="s">
        <v>1040</v>
      </c>
      <c r="AB175" s="15" t="s">
        <v>1041</v>
      </c>
      <c r="AD175">
        <f t="shared" si="2"/>
        <v>6</v>
      </c>
    </row>
    <row r="176" spans="1:30" ht="13" customHeight="1" x14ac:dyDescent="0.35">
      <c r="A176" s="7" t="s">
        <v>32</v>
      </c>
      <c r="B176" s="8" t="s">
        <v>33</v>
      </c>
      <c r="C176" s="8"/>
      <c r="E176" s="8" t="s">
        <v>1042</v>
      </c>
      <c r="F176" s="8" t="s">
        <v>136</v>
      </c>
      <c r="G176" s="8" t="s">
        <v>336</v>
      </c>
      <c r="H176" s="10" t="s">
        <v>223</v>
      </c>
      <c r="I176" s="8" t="s">
        <v>1043</v>
      </c>
      <c r="J176" s="8" t="s">
        <v>432</v>
      </c>
      <c r="K176" s="8" t="s">
        <v>160</v>
      </c>
      <c r="L176" s="56" t="s">
        <v>1044</v>
      </c>
      <c r="M176" s="72" t="s">
        <v>1045</v>
      </c>
      <c r="N176" s="11" t="s">
        <v>1046</v>
      </c>
      <c r="O176" s="11" t="s">
        <v>1047</v>
      </c>
      <c r="Q176" s="8"/>
      <c r="R176" s="8"/>
      <c r="S176" s="8"/>
      <c r="T176" s="8"/>
      <c r="U176" s="8"/>
      <c r="V176" s="8"/>
      <c r="W176" s="8"/>
      <c r="X176" s="8"/>
      <c r="Y176" s="13">
        <v>45558</v>
      </c>
      <c r="AA176" s="14" t="s">
        <v>1048</v>
      </c>
      <c r="AB176" s="15" t="s">
        <v>1049</v>
      </c>
      <c r="AD176">
        <f t="shared" si="2"/>
        <v>1</v>
      </c>
    </row>
    <row r="177" spans="1:30" ht="13" customHeight="1" x14ac:dyDescent="0.35">
      <c r="A177" s="7" t="s">
        <v>69</v>
      </c>
      <c r="B177" s="8" t="s">
        <v>890</v>
      </c>
      <c r="C177" s="8"/>
      <c r="E177" s="49" t="s">
        <v>1050</v>
      </c>
      <c r="F177" s="9" t="s">
        <v>103</v>
      </c>
      <c r="I177" s="38"/>
      <c r="J177" s="38"/>
      <c r="L177" s="41" t="s">
        <v>1051</v>
      </c>
      <c r="M177" s="41"/>
      <c r="N177" s="41"/>
      <c r="O177" s="50" t="s">
        <v>1052</v>
      </c>
      <c r="P177" s="38"/>
      <c r="Q177" s="87" t="s">
        <v>820</v>
      </c>
      <c r="R177" s="49"/>
      <c r="S177" s="8"/>
      <c r="T177" s="8"/>
      <c r="X177" s="8"/>
      <c r="AA177" s="14" t="s">
        <v>1053</v>
      </c>
      <c r="AB177" s="15" t="s">
        <v>1054</v>
      </c>
      <c r="AD177" t="str">
        <f t="shared" si="2"/>
        <v/>
      </c>
    </row>
    <row r="178" spans="1:30" ht="13" customHeight="1" x14ac:dyDescent="0.35">
      <c r="A178" s="7" t="s">
        <v>69</v>
      </c>
      <c r="B178" s="8" t="s">
        <v>879</v>
      </c>
      <c r="C178" s="8" t="s">
        <v>880</v>
      </c>
      <c r="E178" s="29" t="s">
        <v>1055</v>
      </c>
      <c r="F178" s="9" t="s">
        <v>136</v>
      </c>
      <c r="H178" s="10" t="s">
        <v>882</v>
      </c>
      <c r="I178" s="8"/>
      <c r="L178" s="11" t="s">
        <v>1056</v>
      </c>
      <c r="M178" s="11"/>
      <c r="N178" s="11"/>
      <c r="O178" s="31" t="s">
        <v>1057</v>
      </c>
      <c r="Q178" s="84" t="s">
        <v>1058</v>
      </c>
      <c r="S178" s="8"/>
      <c r="T178" s="8"/>
      <c r="X178" s="8"/>
      <c r="Z178" s="8" t="s">
        <v>911</v>
      </c>
      <c r="AA178" s="14" t="s">
        <v>1059</v>
      </c>
      <c r="AB178" s="15" t="s">
        <v>810</v>
      </c>
      <c r="AD178" t="str">
        <f t="shared" si="2"/>
        <v/>
      </c>
    </row>
    <row r="179" spans="1:30" ht="13" customHeight="1" x14ac:dyDescent="0.35">
      <c r="A179" s="7" t="s">
        <v>69</v>
      </c>
      <c r="B179" s="8" t="s">
        <v>33</v>
      </c>
      <c r="C179" s="8" t="s">
        <v>799</v>
      </c>
      <c r="E179" s="29" t="s">
        <v>1055</v>
      </c>
      <c r="F179" s="9" t="s">
        <v>136</v>
      </c>
      <c r="H179" s="10" t="s">
        <v>882</v>
      </c>
      <c r="I179" s="8"/>
      <c r="L179" s="11" t="s">
        <v>1056</v>
      </c>
      <c r="M179" s="11"/>
      <c r="N179" s="11"/>
      <c r="O179" s="31" t="s">
        <v>1057</v>
      </c>
      <c r="Q179" s="84" t="s">
        <v>1058</v>
      </c>
      <c r="S179" s="8"/>
      <c r="T179" s="8"/>
      <c r="X179" s="8"/>
      <c r="Z179" s="8" t="s">
        <v>911</v>
      </c>
      <c r="AA179" s="14" t="s">
        <v>1060</v>
      </c>
      <c r="AB179" s="15" t="s">
        <v>810</v>
      </c>
      <c r="AD179" t="str">
        <f t="shared" si="2"/>
        <v/>
      </c>
    </row>
    <row r="180" spans="1:30" ht="13" customHeight="1" x14ac:dyDescent="0.35">
      <c r="A180" s="7" t="s">
        <v>69</v>
      </c>
      <c r="B180" s="8" t="s">
        <v>879</v>
      </c>
      <c r="C180" s="8" t="s">
        <v>880</v>
      </c>
      <c r="E180" s="29" t="s">
        <v>1061</v>
      </c>
      <c r="F180" s="9" t="s">
        <v>136</v>
      </c>
      <c r="H180" s="10" t="s">
        <v>882</v>
      </c>
      <c r="I180" s="8"/>
      <c r="L180" s="11" t="s">
        <v>1062</v>
      </c>
      <c r="M180" s="11" t="s">
        <v>965</v>
      </c>
      <c r="N180" s="11" t="s">
        <v>1063</v>
      </c>
      <c r="O180" s="31" t="s">
        <v>1064</v>
      </c>
      <c r="S180" s="8"/>
      <c r="T180" s="8"/>
      <c r="X180" s="8"/>
      <c r="Z180" s="8" t="s">
        <v>1065</v>
      </c>
      <c r="AA180" s="14" t="s">
        <v>1066</v>
      </c>
      <c r="AB180" s="15" t="s">
        <v>913</v>
      </c>
      <c r="AD180">
        <f t="shared" si="2"/>
        <v>1</v>
      </c>
    </row>
    <row r="181" spans="1:30" ht="13" customHeight="1" x14ac:dyDescent="0.35">
      <c r="A181" s="7" t="s">
        <v>32</v>
      </c>
      <c r="B181" s="8" t="s">
        <v>33</v>
      </c>
      <c r="C181" s="8"/>
      <c r="E181" s="8" t="s">
        <v>1067</v>
      </c>
      <c r="F181" s="9" t="s">
        <v>136</v>
      </c>
      <c r="G181" s="8" t="s">
        <v>336</v>
      </c>
      <c r="H181" s="10" t="s">
        <v>440</v>
      </c>
      <c r="I181" s="8" t="s">
        <v>1068</v>
      </c>
      <c r="K181" s="8" t="s">
        <v>160</v>
      </c>
      <c r="L181" s="62" t="s">
        <v>1069</v>
      </c>
      <c r="M181" s="62" t="s">
        <v>1070</v>
      </c>
      <c r="N181" s="73" t="s">
        <v>1071</v>
      </c>
      <c r="O181" s="11" t="s">
        <v>1072</v>
      </c>
      <c r="Q181" s="8"/>
      <c r="R181" s="8"/>
      <c r="S181" s="8"/>
      <c r="T181" s="8"/>
      <c r="U181" s="8"/>
      <c r="V181" s="8"/>
      <c r="W181" s="8"/>
      <c r="X181" s="8"/>
      <c r="Y181" s="13">
        <v>45610</v>
      </c>
      <c r="AA181" s="14" t="s">
        <v>1073</v>
      </c>
      <c r="AB181" s="15" t="s">
        <v>1074</v>
      </c>
      <c r="AD181">
        <f t="shared" si="2"/>
        <v>1</v>
      </c>
    </row>
    <row r="182" spans="1:30" ht="13" customHeight="1" x14ac:dyDescent="0.35">
      <c r="A182" s="7" t="s">
        <v>32</v>
      </c>
      <c r="B182" s="8" t="s">
        <v>33</v>
      </c>
      <c r="C182" s="8"/>
      <c r="E182" s="8" t="s">
        <v>1075</v>
      </c>
      <c r="F182" s="9" t="s">
        <v>136</v>
      </c>
      <c r="G182" s="8" t="s">
        <v>336</v>
      </c>
      <c r="H182" s="10" t="s">
        <v>440</v>
      </c>
      <c r="I182" s="8" t="s">
        <v>1076</v>
      </c>
      <c r="K182" s="8" t="s">
        <v>160</v>
      </c>
      <c r="L182" s="62" t="s">
        <v>1077</v>
      </c>
      <c r="M182" s="62" t="s">
        <v>1070</v>
      </c>
      <c r="N182" s="73" t="s">
        <v>1071</v>
      </c>
      <c r="O182" s="11" t="s">
        <v>1072</v>
      </c>
      <c r="Q182" s="8"/>
      <c r="R182" s="8"/>
      <c r="S182" s="8"/>
      <c r="T182" s="8"/>
      <c r="U182" s="8"/>
      <c r="V182" s="8"/>
      <c r="W182" s="8"/>
      <c r="X182" s="8"/>
      <c r="Y182" s="13">
        <v>45610</v>
      </c>
      <c r="AA182" s="14" t="s">
        <v>1078</v>
      </c>
      <c r="AB182" s="15" t="s">
        <v>1079</v>
      </c>
      <c r="AD182">
        <f t="shared" si="2"/>
        <v>1</v>
      </c>
    </row>
    <row r="183" spans="1:30" ht="13" customHeight="1" x14ac:dyDescent="0.35">
      <c r="A183" s="7" t="s">
        <v>69</v>
      </c>
      <c r="B183" s="8" t="s">
        <v>33</v>
      </c>
      <c r="C183" s="8" t="s">
        <v>799</v>
      </c>
      <c r="E183" s="29" t="s">
        <v>1061</v>
      </c>
      <c r="F183" s="9" t="s">
        <v>136</v>
      </c>
      <c r="H183" s="10" t="s">
        <v>882</v>
      </c>
      <c r="I183" s="8"/>
      <c r="L183" s="11" t="s">
        <v>1062</v>
      </c>
      <c r="M183" s="11" t="s">
        <v>965</v>
      </c>
      <c r="N183" s="11" t="s">
        <v>1063</v>
      </c>
      <c r="O183" s="31" t="s">
        <v>1064</v>
      </c>
      <c r="S183" s="8"/>
      <c r="T183" s="8"/>
      <c r="X183" s="8"/>
      <c r="Z183" s="8" t="s">
        <v>1065</v>
      </c>
      <c r="AA183" s="14" t="s">
        <v>1080</v>
      </c>
      <c r="AB183" s="15" t="s">
        <v>913</v>
      </c>
      <c r="AD183">
        <f t="shared" si="2"/>
        <v>1</v>
      </c>
    </row>
    <row r="184" spans="1:30" ht="13" customHeight="1" x14ac:dyDescent="0.35">
      <c r="A184" s="7" t="s">
        <v>69</v>
      </c>
      <c r="B184" s="8" t="s">
        <v>879</v>
      </c>
      <c r="C184" s="8" t="s">
        <v>880</v>
      </c>
      <c r="E184" s="29" t="s">
        <v>1081</v>
      </c>
      <c r="F184" s="9" t="s">
        <v>136</v>
      </c>
      <c r="H184" s="10" t="s">
        <v>882</v>
      </c>
      <c r="I184" s="8" t="s">
        <v>1082</v>
      </c>
      <c r="L184" s="11" t="s">
        <v>1083</v>
      </c>
      <c r="M184" s="11" t="s">
        <v>1084</v>
      </c>
      <c r="N184" s="11" t="s">
        <v>1085</v>
      </c>
      <c r="O184" s="31" t="s">
        <v>1086</v>
      </c>
      <c r="Q184" s="84" t="s">
        <v>820</v>
      </c>
      <c r="S184" s="8"/>
      <c r="T184" s="8"/>
      <c r="X184" s="8"/>
      <c r="Z184" s="8" t="s">
        <v>228</v>
      </c>
      <c r="AA184" s="14" t="s">
        <v>1087</v>
      </c>
      <c r="AB184" s="15" t="s">
        <v>1088</v>
      </c>
      <c r="AD184">
        <f t="shared" si="2"/>
        <v>1</v>
      </c>
    </row>
    <row r="185" spans="1:30" ht="13" customHeight="1" x14ac:dyDescent="0.35">
      <c r="A185" s="7" t="s">
        <v>32</v>
      </c>
      <c r="B185" s="8" t="s">
        <v>33</v>
      </c>
      <c r="C185" s="8"/>
      <c r="E185" s="8" t="s">
        <v>1089</v>
      </c>
      <c r="F185" s="8" t="s">
        <v>136</v>
      </c>
      <c r="G185" s="8" t="s">
        <v>336</v>
      </c>
      <c r="H185" s="10" t="s">
        <v>223</v>
      </c>
      <c r="I185" s="8" t="s">
        <v>1090</v>
      </c>
      <c r="K185" s="8" t="s">
        <v>40</v>
      </c>
      <c r="L185" s="56" t="s">
        <v>1091</v>
      </c>
      <c r="M185" s="72" t="s">
        <v>1092</v>
      </c>
      <c r="N185" s="10" t="s">
        <v>1093</v>
      </c>
      <c r="O185" s="11" t="s">
        <v>1094</v>
      </c>
      <c r="Q185" s="8"/>
      <c r="R185" s="8"/>
      <c r="S185" s="8"/>
      <c r="T185" s="8"/>
      <c r="U185" s="8"/>
      <c r="V185" s="8"/>
      <c r="W185" s="8"/>
      <c r="X185" s="8"/>
      <c r="Y185" s="13">
        <v>45558</v>
      </c>
      <c r="Z185" s="8" t="s">
        <v>228</v>
      </c>
      <c r="AA185" s="14" t="s">
        <v>1095</v>
      </c>
      <c r="AB185" s="15" t="s">
        <v>1096</v>
      </c>
      <c r="AD185">
        <f t="shared" si="2"/>
        <v>1</v>
      </c>
    </row>
    <row r="186" spans="1:30" ht="13" customHeight="1" x14ac:dyDescent="0.35">
      <c r="A186" s="88" t="s">
        <v>32</v>
      </c>
      <c r="B186" s="89" t="s">
        <v>33</v>
      </c>
      <c r="C186" s="89"/>
      <c r="D186" s="89"/>
      <c r="E186" s="89" t="s">
        <v>1097</v>
      </c>
      <c r="F186" s="89" t="s">
        <v>136</v>
      </c>
      <c r="G186" s="89" t="s">
        <v>36</v>
      </c>
      <c r="H186" s="90" t="s">
        <v>223</v>
      </c>
      <c r="I186" s="89" t="s">
        <v>1098</v>
      </c>
      <c r="J186" s="89"/>
      <c r="K186" s="89" t="s">
        <v>40</v>
      </c>
      <c r="L186" s="91" t="s">
        <v>1099</v>
      </c>
      <c r="M186" s="90" t="s">
        <v>1100</v>
      </c>
      <c r="N186" s="92" t="s">
        <v>1101</v>
      </c>
      <c r="O186" s="92" t="s">
        <v>1102</v>
      </c>
      <c r="P186" s="89"/>
      <c r="Q186" s="89"/>
      <c r="R186" s="89"/>
      <c r="S186" s="89"/>
      <c r="T186" s="89"/>
      <c r="U186" s="89"/>
      <c r="V186" s="89"/>
      <c r="W186" s="89"/>
      <c r="X186" s="89"/>
      <c r="Y186" s="93">
        <v>45558</v>
      </c>
      <c r="Z186" s="89"/>
      <c r="AA186" s="14" t="s">
        <v>1103</v>
      </c>
      <c r="AB186" s="15" t="s">
        <v>1104</v>
      </c>
      <c r="AD186">
        <f t="shared" si="2"/>
        <v>1</v>
      </c>
    </row>
    <row r="187" spans="1:30" ht="13" customHeight="1" x14ac:dyDescent="0.35">
      <c r="A187" s="7" t="s">
        <v>69</v>
      </c>
      <c r="B187" s="8" t="s">
        <v>70</v>
      </c>
      <c r="C187" s="8"/>
      <c r="D187" s="8" t="s">
        <v>1105</v>
      </c>
      <c r="E187" s="29" t="s">
        <v>1106</v>
      </c>
      <c r="F187" s="9" t="s">
        <v>103</v>
      </c>
      <c r="I187" s="33" t="s">
        <v>1107</v>
      </c>
      <c r="J187" s="94"/>
      <c r="K187" s="33"/>
      <c r="L187" s="31" t="s">
        <v>1108</v>
      </c>
      <c r="M187" s="31" t="s">
        <v>1109</v>
      </c>
      <c r="N187" s="31" t="s">
        <v>1110</v>
      </c>
      <c r="O187" s="11" t="s">
        <v>1111</v>
      </c>
      <c r="P187" s="24"/>
      <c r="Q187" s="33"/>
      <c r="R187" s="29" t="s">
        <v>571</v>
      </c>
      <c r="S187" s="95" t="s">
        <v>1112</v>
      </c>
      <c r="T187" s="96" t="s">
        <v>1113</v>
      </c>
      <c r="U187" s="96" t="s">
        <v>1114</v>
      </c>
      <c r="V187" s="33"/>
      <c r="W187" s="33"/>
      <c r="X187" s="96"/>
      <c r="Y187" s="8"/>
      <c r="AA187" s="14" t="s">
        <v>1115</v>
      </c>
      <c r="AB187" s="12" t="s">
        <v>1116</v>
      </c>
      <c r="AD187">
        <f t="shared" si="2"/>
        <v>2</v>
      </c>
    </row>
    <row r="188" spans="1:30" ht="13" customHeight="1" x14ac:dyDescent="0.35">
      <c r="A188" s="7" t="s">
        <v>32</v>
      </c>
      <c r="B188" s="8" t="s">
        <v>70</v>
      </c>
      <c r="C188" s="8"/>
      <c r="D188" s="8" t="s">
        <v>101</v>
      </c>
      <c r="E188" s="34" t="s">
        <v>1117</v>
      </c>
      <c r="F188" s="9" t="s">
        <v>51</v>
      </c>
      <c r="G188" s="34" t="s">
        <v>1118</v>
      </c>
      <c r="H188" s="35"/>
      <c r="I188" s="34" t="s">
        <v>1119</v>
      </c>
      <c r="J188" s="34" t="s">
        <v>106</v>
      </c>
      <c r="K188" s="34"/>
      <c r="L188" s="35" t="s">
        <v>1120</v>
      </c>
      <c r="M188" s="35"/>
      <c r="N188" s="35"/>
      <c r="O188" s="36" t="s">
        <v>1121</v>
      </c>
      <c r="P188" s="34" t="s">
        <v>66</v>
      </c>
      <c r="Q188" s="34" t="s">
        <v>1122</v>
      </c>
      <c r="R188" s="34" t="s">
        <v>110</v>
      </c>
      <c r="S188" s="8"/>
      <c r="T188" s="8"/>
      <c r="U188" s="8"/>
      <c r="V188" s="8"/>
      <c r="W188" s="8"/>
      <c r="X188" s="8"/>
      <c r="Y188" s="8"/>
      <c r="AA188" s="14" t="s">
        <v>1123</v>
      </c>
      <c r="AB188" s="12" t="s">
        <v>1124</v>
      </c>
      <c r="AD188" t="str">
        <f t="shared" si="2"/>
        <v/>
      </c>
    </row>
    <row r="189" spans="1:30" ht="13" customHeight="1" x14ac:dyDescent="0.35">
      <c r="A189" s="7" t="s">
        <v>32</v>
      </c>
      <c r="B189" s="8" t="s">
        <v>70</v>
      </c>
      <c r="C189" s="8"/>
      <c r="D189" s="8" t="s">
        <v>101</v>
      </c>
      <c r="E189" s="34" t="s">
        <v>1125</v>
      </c>
      <c r="F189" s="9" t="s">
        <v>51</v>
      </c>
      <c r="G189" s="34" t="s">
        <v>1126</v>
      </c>
      <c r="H189" s="35"/>
      <c r="I189" s="34" t="s">
        <v>1127</v>
      </c>
      <c r="J189" s="34" t="s">
        <v>106</v>
      </c>
      <c r="K189" s="34"/>
      <c r="L189" s="35" t="s">
        <v>1120</v>
      </c>
      <c r="M189" s="35"/>
      <c r="N189" s="35"/>
      <c r="O189" s="36" t="s">
        <v>1128</v>
      </c>
      <c r="P189" s="34" t="s">
        <v>66</v>
      </c>
      <c r="Q189" s="34" t="s">
        <v>1122</v>
      </c>
      <c r="R189" s="34" t="s">
        <v>110</v>
      </c>
      <c r="S189" s="8"/>
      <c r="T189" s="8"/>
      <c r="U189" s="8"/>
      <c r="V189" s="8"/>
      <c r="W189" s="8"/>
      <c r="X189" s="8"/>
      <c r="Y189" s="8"/>
      <c r="AA189" s="14" t="s">
        <v>1129</v>
      </c>
      <c r="AB189" s="12" t="s">
        <v>1124</v>
      </c>
      <c r="AD189" t="str">
        <f t="shared" si="2"/>
        <v/>
      </c>
    </row>
    <row r="190" spans="1:30" ht="13" customHeight="1" x14ac:dyDescent="0.35">
      <c r="A190" s="7" t="s">
        <v>32</v>
      </c>
      <c r="B190" s="8" t="s">
        <v>48</v>
      </c>
      <c r="C190" s="8"/>
      <c r="D190" s="8" t="s">
        <v>172</v>
      </c>
      <c r="E190" s="8" t="s">
        <v>1130</v>
      </c>
      <c r="F190" s="9" t="s">
        <v>35</v>
      </c>
      <c r="G190" s="8" t="s">
        <v>174</v>
      </c>
      <c r="I190" s="8" t="s">
        <v>1131</v>
      </c>
      <c r="J190" s="8" t="s">
        <v>176</v>
      </c>
      <c r="K190" s="8" t="s">
        <v>132</v>
      </c>
      <c r="L190" s="43"/>
      <c r="M190" s="43"/>
      <c r="N190" s="43"/>
      <c r="O190" s="44"/>
      <c r="P190" s="9"/>
      <c r="Q190" s="9"/>
      <c r="R190" s="9"/>
      <c r="S190" s="8"/>
      <c r="T190" s="8"/>
      <c r="U190" s="8"/>
      <c r="V190" s="8"/>
      <c r="W190" s="8"/>
      <c r="X190" s="8"/>
      <c r="Y190" s="8"/>
      <c r="AA190" s="14" t="s">
        <v>1132</v>
      </c>
      <c r="AD190" t="str">
        <f t="shared" si="2"/>
        <v/>
      </c>
    </row>
    <row r="191" spans="1:30" ht="13" customHeight="1" x14ac:dyDescent="0.35">
      <c r="A191" s="88" t="s">
        <v>32</v>
      </c>
      <c r="B191" s="89" t="s">
        <v>33</v>
      </c>
      <c r="C191" s="89"/>
      <c r="D191" s="89"/>
      <c r="E191" s="89" t="s">
        <v>1133</v>
      </c>
      <c r="F191" s="89" t="s">
        <v>136</v>
      </c>
      <c r="G191" s="89" t="s">
        <v>36</v>
      </c>
      <c r="H191" s="90" t="s">
        <v>591</v>
      </c>
      <c r="I191" s="89" t="s">
        <v>1134</v>
      </c>
      <c r="J191" s="89"/>
      <c r="K191" s="89" t="s">
        <v>40</v>
      </c>
      <c r="L191" s="91" t="s">
        <v>1135</v>
      </c>
      <c r="M191" s="90" t="s">
        <v>1136</v>
      </c>
      <c r="N191" s="92"/>
      <c r="O191" s="92" t="s">
        <v>1137</v>
      </c>
      <c r="P191" s="89"/>
      <c r="Q191" s="89"/>
      <c r="R191" s="89"/>
      <c r="S191" s="89"/>
      <c r="T191" s="89"/>
      <c r="U191" s="89"/>
      <c r="V191" s="89"/>
      <c r="W191" s="89"/>
      <c r="X191" s="89"/>
      <c r="Y191" s="93">
        <v>45550</v>
      </c>
      <c r="Z191" s="89" t="s">
        <v>228</v>
      </c>
      <c r="AA191" s="14" t="s">
        <v>1138</v>
      </c>
      <c r="AB191" s="15" t="s">
        <v>1139</v>
      </c>
      <c r="AD191">
        <f t="shared" si="2"/>
        <v>1</v>
      </c>
    </row>
    <row r="192" spans="1:30" ht="13" customHeight="1" x14ac:dyDescent="0.35">
      <c r="A192" s="7" t="s">
        <v>32</v>
      </c>
      <c r="B192" s="8" t="s">
        <v>33</v>
      </c>
      <c r="C192" s="8"/>
      <c r="E192" s="8" t="s">
        <v>1140</v>
      </c>
      <c r="F192" s="9" t="s">
        <v>136</v>
      </c>
      <c r="G192" s="8" t="s">
        <v>336</v>
      </c>
      <c r="H192" s="10" t="s">
        <v>685</v>
      </c>
      <c r="I192" s="8" t="s">
        <v>1141</v>
      </c>
      <c r="K192" s="8" t="s">
        <v>1142</v>
      </c>
      <c r="L192" s="10"/>
      <c r="M192" s="10" t="s">
        <v>1143</v>
      </c>
      <c r="N192" s="10" t="s">
        <v>1144</v>
      </c>
      <c r="O192" s="11" t="s">
        <v>1145</v>
      </c>
      <c r="Q192" s="8"/>
      <c r="R192" s="8"/>
      <c r="S192" s="8"/>
      <c r="T192" s="8"/>
      <c r="U192" s="8"/>
      <c r="V192" s="8"/>
      <c r="W192" s="8"/>
      <c r="X192" s="8"/>
      <c r="Y192" s="13">
        <v>45583</v>
      </c>
      <c r="AA192" s="14" t="s">
        <v>1146</v>
      </c>
      <c r="AB192" s="15" t="s">
        <v>1147</v>
      </c>
      <c r="AD192">
        <f t="shared" si="2"/>
        <v>1</v>
      </c>
    </row>
    <row r="193" spans="1:30" ht="13" customHeight="1" x14ac:dyDescent="0.35">
      <c r="A193" s="7" t="s">
        <v>32</v>
      </c>
      <c r="B193" s="8" t="s">
        <v>33</v>
      </c>
      <c r="C193" s="8"/>
      <c r="E193" s="8" t="s">
        <v>1148</v>
      </c>
      <c r="F193" s="8" t="s">
        <v>136</v>
      </c>
      <c r="G193" s="8" t="s">
        <v>36</v>
      </c>
      <c r="H193" s="10" t="s">
        <v>193</v>
      </c>
      <c r="I193" s="8" t="s">
        <v>210</v>
      </c>
      <c r="K193" s="8" t="s">
        <v>160</v>
      </c>
      <c r="L193" s="56" t="s">
        <v>1149</v>
      </c>
      <c r="M193" s="72" t="s">
        <v>1150</v>
      </c>
      <c r="N193" s="10" t="s">
        <v>1151</v>
      </c>
      <c r="O193" s="11" t="s">
        <v>1152</v>
      </c>
      <c r="Q193" s="8"/>
      <c r="R193" s="8"/>
      <c r="S193" s="8"/>
      <c r="T193" s="8"/>
      <c r="U193" s="8"/>
      <c r="V193" s="8"/>
      <c r="W193" s="8"/>
      <c r="X193" s="8"/>
      <c r="Y193" s="13">
        <v>45586</v>
      </c>
      <c r="Z193" s="8" t="s">
        <v>228</v>
      </c>
      <c r="AA193" s="14" t="s">
        <v>1153</v>
      </c>
      <c r="AB193" s="15" t="s">
        <v>1154</v>
      </c>
      <c r="AD193">
        <f t="shared" si="2"/>
        <v>1</v>
      </c>
    </row>
    <row r="194" spans="1:30" ht="13" customHeight="1" x14ac:dyDescent="0.35">
      <c r="A194" s="88" t="s">
        <v>32</v>
      </c>
      <c r="B194" s="89" t="s">
        <v>33</v>
      </c>
      <c r="C194" s="89"/>
      <c r="D194" s="89"/>
      <c r="E194" s="89" t="s">
        <v>1155</v>
      </c>
      <c r="F194" s="89" t="s">
        <v>136</v>
      </c>
      <c r="G194" s="89" t="s">
        <v>36</v>
      </c>
      <c r="H194" s="90" t="s">
        <v>591</v>
      </c>
      <c r="I194" s="89" t="s">
        <v>1156</v>
      </c>
      <c r="J194" s="89"/>
      <c r="K194" s="89" t="s">
        <v>160</v>
      </c>
      <c r="L194" s="91" t="s">
        <v>1135</v>
      </c>
      <c r="M194" s="90" t="s">
        <v>1136</v>
      </c>
      <c r="N194" s="92"/>
      <c r="O194" s="92" t="s">
        <v>1157</v>
      </c>
      <c r="P194" s="89"/>
      <c r="Q194" s="89"/>
      <c r="R194" s="89"/>
      <c r="S194" s="89"/>
      <c r="T194" s="89"/>
      <c r="U194" s="89"/>
      <c r="V194" s="89"/>
      <c r="W194" s="89"/>
      <c r="X194" s="89"/>
      <c r="Y194" s="93">
        <v>45550</v>
      </c>
      <c r="Z194" s="89" t="s">
        <v>228</v>
      </c>
      <c r="AA194" s="14" t="s">
        <v>1158</v>
      </c>
      <c r="AB194" s="15" t="s">
        <v>1159</v>
      </c>
      <c r="AD194">
        <f t="shared" ref="AD194:AD257" si="3">IF(M194="","",COUNTA(_xlfn.TEXTSPLIT(M194,CHAR(10))))</f>
        <v>1</v>
      </c>
    </row>
    <row r="195" spans="1:30" ht="13" customHeight="1" x14ac:dyDescent="0.35">
      <c r="A195" s="7" t="s">
        <v>69</v>
      </c>
      <c r="B195" s="8" t="s">
        <v>33</v>
      </c>
      <c r="C195" s="8" t="s">
        <v>799</v>
      </c>
      <c r="E195" s="29" t="s">
        <v>1081</v>
      </c>
      <c r="F195" s="9" t="s">
        <v>136</v>
      </c>
      <c r="I195" s="8"/>
      <c r="L195" s="11" t="s">
        <v>1083</v>
      </c>
      <c r="M195" s="11"/>
      <c r="N195" s="11"/>
      <c r="O195" s="31" t="s">
        <v>1086</v>
      </c>
      <c r="Q195" s="84" t="s">
        <v>820</v>
      </c>
      <c r="S195" s="8"/>
      <c r="T195" s="8"/>
      <c r="X195" s="8"/>
      <c r="Z195" s="8" t="s">
        <v>228</v>
      </c>
      <c r="AA195" s="14" t="s">
        <v>1160</v>
      </c>
      <c r="AB195" s="15"/>
      <c r="AD195" t="str">
        <f t="shared" si="3"/>
        <v/>
      </c>
    </row>
    <row r="196" spans="1:30" ht="13" customHeight="1" x14ac:dyDescent="0.35">
      <c r="A196" s="7" t="s">
        <v>69</v>
      </c>
      <c r="B196" s="8" t="s">
        <v>879</v>
      </c>
      <c r="C196" s="8" t="s">
        <v>880</v>
      </c>
      <c r="E196" s="29" t="s">
        <v>1161</v>
      </c>
      <c r="F196" s="9" t="s">
        <v>103</v>
      </c>
      <c r="I196" s="8"/>
      <c r="L196" s="11" t="s">
        <v>1162</v>
      </c>
      <c r="M196" s="11" t="s">
        <v>1163</v>
      </c>
      <c r="N196" s="11" t="s">
        <v>1164</v>
      </c>
      <c r="O196" s="31" t="s">
        <v>1165</v>
      </c>
      <c r="S196" s="8"/>
      <c r="T196" s="8"/>
      <c r="X196" s="8"/>
      <c r="Z196" s="8" t="s">
        <v>911</v>
      </c>
      <c r="AA196" s="14" t="s">
        <v>1166</v>
      </c>
      <c r="AB196" s="15" t="s">
        <v>1167</v>
      </c>
      <c r="AD196">
        <f t="shared" si="3"/>
        <v>1</v>
      </c>
    </row>
    <row r="197" spans="1:30" ht="13" customHeight="1" x14ac:dyDescent="0.35">
      <c r="A197" s="7" t="s">
        <v>69</v>
      </c>
      <c r="B197" s="8" t="s">
        <v>33</v>
      </c>
      <c r="C197" s="8" t="s">
        <v>799</v>
      </c>
      <c r="E197" s="29" t="s">
        <v>1161</v>
      </c>
      <c r="F197" s="9" t="s">
        <v>103</v>
      </c>
      <c r="I197" s="8"/>
      <c r="L197" s="11" t="s">
        <v>1162</v>
      </c>
      <c r="M197" s="11" t="s">
        <v>1163</v>
      </c>
      <c r="N197" s="11" t="s">
        <v>1164</v>
      </c>
      <c r="O197" s="31" t="s">
        <v>1165</v>
      </c>
      <c r="S197" s="8"/>
      <c r="T197" s="8"/>
      <c r="X197" s="8"/>
      <c r="Z197" s="8" t="s">
        <v>911</v>
      </c>
      <c r="AA197" s="14" t="s">
        <v>1168</v>
      </c>
      <c r="AB197" s="15" t="s">
        <v>1167</v>
      </c>
      <c r="AD197">
        <f t="shared" si="3"/>
        <v>1</v>
      </c>
    </row>
    <row r="198" spans="1:30" ht="13" customHeight="1" x14ac:dyDescent="0.35">
      <c r="A198" s="7" t="s">
        <v>69</v>
      </c>
      <c r="B198" s="8" t="s">
        <v>879</v>
      </c>
      <c r="C198" s="8" t="s">
        <v>880</v>
      </c>
      <c r="E198" s="29" t="s">
        <v>1169</v>
      </c>
      <c r="F198" s="9" t="s">
        <v>103</v>
      </c>
      <c r="I198" s="8"/>
      <c r="L198" s="11"/>
      <c r="M198" s="11"/>
      <c r="N198" s="11"/>
      <c r="S198" s="8"/>
      <c r="T198" s="8"/>
      <c r="X198" s="8"/>
      <c r="AA198" s="14" t="s">
        <v>1170</v>
      </c>
      <c r="AB198" s="15" t="s">
        <v>1171</v>
      </c>
      <c r="AD198" t="str">
        <f t="shared" si="3"/>
        <v/>
      </c>
    </row>
    <row r="199" spans="1:30" ht="13" customHeight="1" x14ac:dyDescent="0.35">
      <c r="A199" s="7" t="s">
        <v>32</v>
      </c>
      <c r="B199" s="8" t="s">
        <v>70</v>
      </c>
      <c r="C199" s="8"/>
      <c r="D199" s="8" t="s">
        <v>101</v>
      </c>
      <c r="E199" s="8" t="s">
        <v>1172</v>
      </c>
      <c r="F199" s="9" t="s">
        <v>35</v>
      </c>
      <c r="G199" s="8" t="s">
        <v>174</v>
      </c>
      <c r="I199" s="8" t="s">
        <v>1173</v>
      </c>
      <c r="J199" s="8" t="s">
        <v>106</v>
      </c>
      <c r="K199" s="8" t="s">
        <v>132</v>
      </c>
      <c r="L199" s="10"/>
      <c r="M199" s="10"/>
      <c r="N199" s="10"/>
      <c r="O199" s="11"/>
      <c r="Q199" s="8"/>
      <c r="R199" s="8"/>
      <c r="S199" s="8"/>
      <c r="T199" s="8"/>
      <c r="U199" s="8"/>
      <c r="V199" s="8"/>
      <c r="W199" s="8"/>
      <c r="X199" s="8"/>
      <c r="Y199" s="8"/>
      <c r="AA199" s="14" t="s">
        <v>1174</v>
      </c>
      <c r="AD199" t="str">
        <f t="shared" si="3"/>
        <v/>
      </c>
    </row>
    <row r="200" spans="1:30" ht="13" customHeight="1" x14ac:dyDescent="0.35">
      <c r="A200" s="7" t="s">
        <v>69</v>
      </c>
      <c r="B200" s="8" t="s">
        <v>33</v>
      </c>
      <c r="C200" s="8" t="s">
        <v>799</v>
      </c>
      <c r="E200" s="29" t="s">
        <v>1175</v>
      </c>
      <c r="F200" s="9" t="s">
        <v>103</v>
      </c>
      <c r="H200" s="10" t="s">
        <v>1176</v>
      </c>
      <c r="I200" s="8"/>
      <c r="L200" s="11"/>
      <c r="M200" s="11"/>
      <c r="N200" s="11"/>
      <c r="S200" s="8"/>
      <c r="T200" s="8"/>
      <c r="X200" s="8"/>
      <c r="AA200" s="14" t="s">
        <v>1177</v>
      </c>
      <c r="AB200" s="15" t="s">
        <v>1178</v>
      </c>
      <c r="AD200" t="str">
        <f t="shared" si="3"/>
        <v/>
      </c>
    </row>
    <row r="201" spans="1:30" ht="13" customHeight="1" x14ac:dyDescent="0.35">
      <c r="A201" s="7" t="s">
        <v>32</v>
      </c>
      <c r="B201" s="8" t="s">
        <v>33</v>
      </c>
      <c r="C201" s="8"/>
      <c r="E201" s="8" t="s">
        <v>1179</v>
      </c>
      <c r="F201" s="8" t="s">
        <v>145</v>
      </c>
      <c r="G201" s="8" t="s">
        <v>36</v>
      </c>
      <c r="H201" s="10" t="s">
        <v>193</v>
      </c>
      <c r="I201" s="8" t="s">
        <v>1180</v>
      </c>
      <c r="J201" s="8" t="s">
        <v>432</v>
      </c>
      <c r="K201" s="8" t="s">
        <v>40</v>
      </c>
      <c r="L201" s="79" t="s">
        <v>1181</v>
      </c>
      <c r="M201" s="57" t="s">
        <v>1182</v>
      </c>
      <c r="N201" s="11" t="s">
        <v>1183</v>
      </c>
      <c r="O201" s="11"/>
      <c r="Q201" s="8"/>
      <c r="R201" s="8"/>
      <c r="S201" s="8"/>
      <c r="T201" s="8"/>
      <c r="U201" s="8"/>
      <c r="V201" s="8"/>
      <c r="W201" s="8"/>
      <c r="X201" s="8"/>
      <c r="Y201" s="13">
        <v>45581</v>
      </c>
      <c r="Z201" s="8" t="s">
        <v>228</v>
      </c>
      <c r="AA201" s="14" t="s">
        <v>1184</v>
      </c>
      <c r="AB201" s="15" t="s">
        <v>1185</v>
      </c>
      <c r="AD201">
        <f t="shared" si="3"/>
        <v>3</v>
      </c>
    </row>
    <row r="202" spans="1:30" ht="13" customHeight="1" x14ac:dyDescent="0.35">
      <c r="A202" s="7" t="s">
        <v>32</v>
      </c>
      <c r="B202" s="8" t="s">
        <v>33</v>
      </c>
      <c r="C202" s="8"/>
      <c r="E202" s="8" t="s">
        <v>1186</v>
      </c>
      <c r="F202" s="8" t="s">
        <v>145</v>
      </c>
      <c r="G202" s="8" t="s">
        <v>36</v>
      </c>
      <c r="H202" s="10" t="s">
        <v>193</v>
      </c>
      <c r="I202" s="8" t="s">
        <v>1187</v>
      </c>
      <c r="J202" s="8" t="s">
        <v>432</v>
      </c>
      <c r="K202" s="8" t="s">
        <v>40</v>
      </c>
      <c r="L202" s="79" t="s">
        <v>1181</v>
      </c>
      <c r="M202" s="57" t="s">
        <v>1182</v>
      </c>
      <c r="N202" s="11" t="s">
        <v>1183</v>
      </c>
      <c r="O202" s="11" t="s">
        <v>1188</v>
      </c>
      <c r="Q202" s="8"/>
      <c r="R202" s="8"/>
      <c r="S202" s="8"/>
      <c r="T202" s="8"/>
      <c r="U202" s="8"/>
      <c r="V202" s="8"/>
      <c r="W202" s="8"/>
      <c r="X202" s="8"/>
      <c r="Y202" s="13">
        <v>45581</v>
      </c>
      <c r="Z202" s="8" t="s">
        <v>228</v>
      </c>
      <c r="AA202" s="14" t="s">
        <v>1189</v>
      </c>
      <c r="AB202" s="15" t="s">
        <v>1190</v>
      </c>
      <c r="AD202">
        <f t="shared" si="3"/>
        <v>3</v>
      </c>
    </row>
    <row r="203" spans="1:30" ht="13" customHeight="1" x14ac:dyDescent="0.35">
      <c r="A203" s="7" t="s">
        <v>32</v>
      </c>
      <c r="B203" s="8" t="s">
        <v>33</v>
      </c>
      <c r="C203" s="8"/>
      <c r="E203" s="8" t="s">
        <v>1191</v>
      </c>
      <c r="F203" s="8" t="s">
        <v>145</v>
      </c>
      <c r="G203" s="8" t="s">
        <v>36</v>
      </c>
      <c r="H203" s="10" t="s">
        <v>193</v>
      </c>
      <c r="I203" s="8" t="s">
        <v>1192</v>
      </c>
      <c r="J203" s="8" t="s">
        <v>432</v>
      </c>
      <c r="K203" s="8" t="s">
        <v>40</v>
      </c>
      <c r="L203" s="79" t="s">
        <v>1193</v>
      </c>
      <c r="M203" s="57" t="s">
        <v>1194</v>
      </c>
      <c r="N203" s="11" t="s">
        <v>1195</v>
      </c>
      <c r="O203" s="11"/>
      <c r="Q203" s="8"/>
      <c r="R203" s="8"/>
      <c r="S203" s="8"/>
      <c r="T203" s="8"/>
      <c r="U203" s="8"/>
      <c r="V203" s="8"/>
      <c r="W203" s="8"/>
      <c r="X203" s="8"/>
      <c r="Y203" s="13">
        <v>45581</v>
      </c>
      <c r="Z203" s="8" t="s">
        <v>228</v>
      </c>
      <c r="AA203" s="14" t="s">
        <v>1196</v>
      </c>
      <c r="AB203" s="15" t="s">
        <v>1197</v>
      </c>
      <c r="AD203">
        <f t="shared" si="3"/>
        <v>4</v>
      </c>
    </row>
    <row r="204" spans="1:30" ht="13" customHeight="1" x14ac:dyDescent="0.35">
      <c r="A204" s="7" t="s">
        <v>32</v>
      </c>
      <c r="B204" s="8" t="s">
        <v>70</v>
      </c>
      <c r="C204" s="8"/>
      <c r="D204" s="8" t="s">
        <v>101</v>
      </c>
      <c r="E204" s="8" t="s">
        <v>1198</v>
      </c>
      <c r="F204" s="9" t="s">
        <v>35</v>
      </c>
      <c r="G204" s="8" t="s">
        <v>174</v>
      </c>
      <c r="I204" s="8" t="s">
        <v>1199</v>
      </c>
      <c r="J204" s="8" t="s">
        <v>106</v>
      </c>
      <c r="K204" s="8" t="s">
        <v>132</v>
      </c>
      <c r="L204" s="10"/>
      <c r="M204" s="10"/>
      <c r="N204" s="10"/>
      <c r="O204" s="11"/>
      <c r="Q204" s="8"/>
      <c r="R204" s="8"/>
      <c r="S204" s="8"/>
      <c r="T204" s="8"/>
      <c r="U204" s="8"/>
      <c r="V204" s="8"/>
      <c r="W204" s="8"/>
      <c r="X204" s="8"/>
      <c r="Y204" s="8"/>
      <c r="AA204" s="14" t="s">
        <v>1200</v>
      </c>
      <c r="AD204" t="str">
        <f t="shared" si="3"/>
        <v/>
      </c>
    </row>
    <row r="205" spans="1:30" ht="13" customHeight="1" x14ac:dyDescent="0.35">
      <c r="A205" s="7" t="s">
        <v>32</v>
      </c>
      <c r="B205" s="8" t="s">
        <v>70</v>
      </c>
      <c r="C205" s="8"/>
      <c r="D205" s="8" t="s">
        <v>120</v>
      </c>
      <c r="E205" s="9" t="s">
        <v>1201</v>
      </c>
      <c r="F205" s="9" t="s">
        <v>145</v>
      </c>
      <c r="G205" s="8" t="s">
        <v>130</v>
      </c>
      <c r="I205" s="9" t="s">
        <v>1202</v>
      </c>
      <c r="J205" s="9" t="s">
        <v>123</v>
      </c>
      <c r="K205" s="9" t="s">
        <v>132</v>
      </c>
      <c r="L205" s="97" t="s">
        <v>1203</v>
      </c>
      <c r="M205" s="97" t="s">
        <v>1204</v>
      </c>
      <c r="N205" s="98" t="s">
        <v>1205</v>
      </c>
      <c r="O205" s="44" t="s">
        <v>1206</v>
      </c>
      <c r="P205" s="9" t="s">
        <v>66</v>
      </c>
      <c r="Q205" s="99" t="s">
        <v>425</v>
      </c>
      <c r="R205" s="9" t="s">
        <v>60</v>
      </c>
      <c r="S205" s="8"/>
      <c r="T205" s="8"/>
      <c r="U205" s="8"/>
      <c r="V205" s="8"/>
      <c r="W205" s="8"/>
      <c r="X205" s="8"/>
      <c r="Y205" s="8"/>
      <c r="AA205" s="14" t="s">
        <v>1207</v>
      </c>
      <c r="AD205">
        <f t="shared" si="3"/>
        <v>1</v>
      </c>
    </row>
    <row r="206" spans="1:30" ht="13" customHeight="1" x14ac:dyDescent="0.35">
      <c r="A206" s="7" t="s">
        <v>32</v>
      </c>
      <c r="B206" s="8" t="s">
        <v>438</v>
      </c>
      <c r="C206" s="8"/>
      <c r="E206" s="8" t="s">
        <v>1208</v>
      </c>
      <c r="F206" s="8" t="s">
        <v>145</v>
      </c>
      <c r="G206" s="8" t="s">
        <v>36</v>
      </c>
      <c r="H206" s="10" t="s">
        <v>440</v>
      </c>
      <c r="I206" s="8" t="s">
        <v>1209</v>
      </c>
      <c r="J206" s="8" t="s">
        <v>1210</v>
      </c>
      <c r="K206" s="8" t="s">
        <v>160</v>
      </c>
      <c r="L206" s="56" t="s">
        <v>1211</v>
      </c>
      <c r="M206" s="57" t="s">
        <v>1212</v>
      </c>
      <c r="N206" s="11" t="s">
        <v>1213</v>
      </c>
      <c r="O206" s="55" t="s">
        <v>1214</v>
      </c>
      <c r="Q206" s="8"/>
      <c r="R206" s="8"/>
      <c r="S206" s="8"/>
      <c r="T206" s="8"/>
      <c r="U206" s="8"/>
      <c r="V206" s="8"/>
      <c r="W206" s="8"/>
      <c r="X206" s="8"/>
      <c r="Y206" s="13">
        <v>45610</v>
      </c>
      <c r="Z206" s="8" t="s">
        <v>802</v>
      </c>
      <c r="AA206" s="14" t="s">
        <v>1215</v>
      </c>
      <c r="AB206" s="15" t="s">
        <v>1216</v>
      </c>
      <c r="AD206">
        <f t="shared" si="3"/>
        <v>3</v>
      </c>
    </row>
    <row r="207" spans="1:30" ht="13" customHeight="1" x14ac:dyDescent="0.35">
      <c r="A207" s="7" t="s">
        <v>32</v>
      </c>
      <c r="B207" s="8" t="s">
        <v>33</v>
      </c>
      <c r="C207" s="8"/>
      <c r="E207" s="8" t="s">
        <v>1217</v>
      </c>
      <c r="F207" s="8" t="s">
        <v>145</v>
      </c>
      <c r="G207" s="8" t="s">
        <v>336</v>
      </c>
      <c r="H207" s="10" t="s">
        <v>223</v>
      </c>
      <c r="I207" s="8" t="s">
        <v>1218</v>
      </c>
      <c r="J207" s="8" t="s">
        <v>432</v>
      </c>
      <c r="K207" s="8" t="s">
        <v>160</v>
      </c>
      <c r="L207" s="79" t="s">
        <v>816</v>
      </c>
      <c r="M207" s="57" t="s">
        <v>1219</v>
      </c>
      <c r="N207" s="11" t="s">
        <v>818</v>
      </c>
      <c r="O207" s="11" t="s">
        <v>1220</v>
      </c>
      <c r="Q207" s="8"/>
      <c r="R207" s="8"/>
      <c r="S207" s="8"/>
      <c r="T207" s="8"/>
      <c r="U207" s="8"/>
      <c r="V207" s="8"/>
      <c r="W207" s="8"/>
      <c r="X207" s="8"/>
      <c r="Y207" s="13">
        <v>45609</v>
      </c>
      <c r="Z207" s="8" t="s">
        <v>668</v>
      </c>
      <c r="AA207" s="14" t="s">
        <v>1221</v>
      </c>
      <c r="AB207" s="15" t="s">
        <v>1222</v>
      </c>
      <c r="AD207">
        <f t="shared" si="3"/>
        <v>5</v>
      </c>
    </row>
    <row r="208" spans="1:30" ht="13" customHeight="1" x14ac:dyDescent="0.35">
      <c r="A208" s="7" t="s">
        <v>32</v>
      </c>
      <c r="B208" s="8" t="s">
        <v>33</v>
      </c>
      <c r="C208" s="8"/>
      <c r="E208" s="8" t="s">
        <v>1217</v>
      </c>
      <c r="F208" s="8" t="s">
        <v>145</v>
      </c>
      <c r="G208" s="8" t="s">
        <v>336</v>
      </c>
      <c r="H208" s="10" t="s">
        <v>223</v>
      </c>
      <c r="I208" s="8" t="s">
        <v>1223</v>
      </c>
      <c r="J208" s="8" t="s">
        <v>432</v>
      </c>
      <c r="K208" s="8" t="s">
        <v>160</v>
      </c>
      <c r="L208" s="79" t="s">
        <v>816</v>
      </c>
      <c r="M208" s="57" t="s">
        <v>1219</v>
      </c>
      <c r="N208" s="11" t="s">
        <v>818</v>
      </c>
      <c r="O208" s="11" t="s">
        <v>1220</v>
      </c>
      <c r="Q208" s="8"/>
      <c r="R208" s="8"/>
      <c r="S208" s="8"/>
      <c r="T208" s="8"/>
      <c r="U208" s="8"/>
      <c r="V208" s="8"/>
      <c r="W208" s="8"/>
      <c r="X208" s="8"/>
      <c r="Y208" s="13">
        <v>45609</v>
      </c>
      <c r="Z208" s="8" t="s">
        <v>668</v>
      </c>
      <c r="AA208" s="14" t="s">
        <v>1224</v>
      </c>
      <c r="AB208" s="15" t="s">
        <v>1225</v>
      </c>
      <c r="AD208">
        <f t="shared" si="3"/>
        <v>5</v>
      </c>
    </row>
    <row r="209" spans="1:30" ht="13" customHeight="1" x14ac:dyDescent="0.35">
      <c r="A209" s="7" t="s">
        <v>32</v>
      </c>
      <c r="B209" s="8" t="s">
        <v>33</v>
      </c>
      <c r="C209" s="8"/>
      <c r="E209" s="8" t="s">
        <v>1226</v>
      </c>
      <c r="F209" s="8" t="s">
        <v>103</v>
      </c>
      <c r="G209" s="8" t="s">
        <v>36</v>
      </c>
      <c r="H209" s="10" t="s">
        <v>795</v>
      </c>
      <c r="I209" s="8" t="s">
        <v>1227</v>
      </c>
      <c r="J209" s="8" t="s">
        <v>894</v>
      </c>
      <c r="L209" s="79" t="s">
        <v>1228</v>
      </c>
      <c r="M209" s="57" t="s">
        <v>1229</v>
      </c>
      <c r="N209" s="11" t="s">
        <v>1230</v>
      </c>
      <c r="O209" s="11" t="s">
        <v>1231</v>
      </c>
      <c r="Q209" s="8"/>
      <c r="R209" s="8"/>
      <c r="S209" s="8"/>
      <c r="T209" s="8"/>
      <c r="U209" s="8"/>
      <c r="V209" s="8"/>
      <c r="W209" s="8"/>
      <c r="X209" s="8"/>
      <c r="Y209" s="13">
        <v>45658</v>
      </c>
      <c r="AA209" s="14" t="s">
        <v>1232</v>
      </c>
      <c r="AD209">
        <f t="shared" si="3"/>
        <v>5</v>
      </c>
    </row>
    <row r="210" spans="1:30" ht="13" customHeight="1" x14ac:dyDescent="0.35">
      <c r="A210" s="7" t="s">
        <v>32</v>
      </c>
      <c r="B210" s="8" t="s">
        <v>33</v>
      </c>
      <c r="C210" s="8"/>
      <c r="E210" s="8" t="s">
        <v>1233</v>
      </c>
      <c r="F210" s="8" t="s">
        <v>145</v>
      </c>
      <c r="G210" s="8" t="s">
        <v>36</v>
      </c>
      <c r="H210" s="10" t="s">
        <v>591</v>
      </c>
      <c r="I210" s="8" t="s">
        <v>1234</v>
      </c>
      <c r="J210" s="8" t="s">
        <v>1235</v>
      </c>
      <c r="L210" s="79" t="s">
        <v>1236</v>
      </c>
      <c r="M210" s="57" t="s">
        <v>863</v>
      </c>
      <c r="N210" s="11" t="s">
        <v>864</v>
      </c>
      <c r="O210" s="11" t="s">
        <v>1237</v>
      </c>
      <c r="Q210" s="82" t="s">
        <v>850</v>
      </c>
      <c r="R210" s="8"/>
      <c r="S210" s="8"/>
      <c r="T210" s="8"/>
      <c r="U210" s="8"/>
      <c r="V210" s="8"/>
      <c r="W210" s="8"/>
      <c r="X210" s="8"/>
      <c r="Y210" s="13">
        <v>45596</v>
      </c>
      <c r="Z210" s="8" t="s">
        <v>228</v>
      </c>
      <c r="AA210" s="14" t="s">
        <v>1238</v>
      </c>
      <c r="AD210">
        <f t="shared" si="3"/>
        <v>3</v>
      </c>
    </row>
    <row r="211" spans="1:30" ht="13" customHeight="1" x14ac:dyDescent="0.35">
      <c r="A211" s="7" t="s">
        <v>32</v>
      </c>
      <c r="B211" s="8" t="s">
        <v>33</v>
      </c>
      <c r="C211" s="8"/>
      <c r="E211" s="8" t="s">
        <v>1239</v>
      </c>
      <c r="F211" s="8" t="s">
        <v>145</v>
      </c>
      <c r="G211" s="8" t="s">
        <v>36</v>
      </c>
      <c r="H211" s="10" t="s">
        <v>795</v>
      </c>
      <c r="I211" s="8" t="s">
        <v>1240</v>
      </c>
      <c r="J211" s="8" t="s">
        <v>987</v>
      </c>
      <c r="K211" s="8" t="s">
        <v>160</v>
      </c>
      <c r="L211" s="79" t="s">
        <v>1241</v>
      </c>
      <c r="M211" s="57" t="s">
        <v>1242</v>
      </c>
      <c r="N211" s="11" t="s">
        <v>1243</v>
      </c>
      <c r="O211" s="11" t="s">
        <v>1244</v>
      </c>
      <c r="Q211" s="8"/>
      <c r="R211" s="8"/>
      <c r="S211" s="8"/>
      <c r="T211" s="8"/>
      <c r="U211" s="8"/>
      <c r="V211" s="8"/>
      <c r="W211" s="8"/>
      <c r="X211" s="8"/>
      <c r="Y211" s="13">
        <v>45594</v>
      </c>
      <c r="AA211" s="14" t="s">
        <v>1245</v>
      </c>
      <c r="AB211" s="15" t="s">
        <v>1246</v>
      </c>
      <c r="AD211">
        <f t="shared" si="3"/>
        <v>3</v>
      </c>
    </row>
    <row r="212" spans="1:30" ht="13" customHeight="1" x14ac:dyDescent="0.35">
      <c r="A212" s="7" t="s">
        <v>32</v>
      </c>
      <c r="B212" s="8" t="s">
        <v>33</v>
      </c>
      <c r="C212" s="8"/>
      <c r="E212" s="8" t="s">
        <v>1247</v>
      </c>
      <c r="F212" s="8" t="s">
        <v>145</v>
      </c>
      <c r="G212" s="8" t="s">
        <v>336</v>
      </c>
      <c r="H212" s="10" t="s">
        <v>223</v>
      </c>
      <c r="I212" s="8" t="s">
        <v>1248</v>
      </c>
      <c r="J212" s="8" t="s">
        <v>432</v>
      </c>
      <c r="K212" s="8" t="s">
        <v>40</v>
      </c>
      <c r="L212" s="56" t="s">
        <v>1249</v>
      </c>
      <c r="M212" s="57" t="s">
        <v>1250</v>
      </c>
      <c r="N212" s="11" t="s">
        <v>1251</v>
      </c>
      <c r="O212" s="11" t="s">
        <v>1252</v>
      </c>
      <c r="Q212" s="100" t="s">
        <v>1253</v>
      </c>
      <c r="R212" s="8"/>
      <c r="S212" s="8"/>
      <c r="T212" s="8"/>
      <c r="U212" s="8"/>
      <c r="V212" s="8"/>
      <c r="W212" s="8"/>
      <c r="X212" s="8"/>
      <c r="Y212" s="13">
        <v>45558</v>
      </c>
      <c r="Z212" s="8" t="s">
        <v>228</v>
      </c>
      <c r="AA212" s="14" t="s">
        <v>1254</v>
      </c>
      <c r="AB212" s="15" t="s">
        <v>1255</v>
      </c>
      <c r="AD212">
        <f t="shared" si="3"/>
        <v>3</v>
      </c>
    </row>
    <row r="213" spans="1:30" ht="13" customHeight="1" x14ac:dyDescent="0.35">
      <c r="A213" s="7" t="s">
        <v>32</v>
      </c>
      <c r="B213" s="8" t="s">
        <v>33</v>
      </c>
      <c r="C213" s="8"/>
      <c r="E213" s="8" t="s">
        <v>1055</v>
      </c>
      <c r="F213" s="8" t="s">
        <v>145</v>
      </c>
      <c r="G213" s="8" t="s">
        <v>36</v>
      </c>
      <c r="H213" s="10" t="s">
        <v>795</v>
      </c>
      <c r="I213" s="8" t="s">
        <v>1256</v>
      </c>
      <c r="J213" s="8" t="s">
        <v>815</v>
      </c>
      <c r="L213" s="56" t="s">
        <v>1257</v>
      </c>
      <c r="M213" s="57" t="s">
        <v>1258</v>
      </c>
      <c r="N213" s="11" t="s">
        <v>1259</v>
      </c>
      <c r="O213" s="11" t="s">
        <v>1260</v>
      </c>
      <c r="Q213" s="8"/>
      <c r="R213" s="8"/>
      <c r="S213" s="8"/>
      <c r="T213" s="8"/>
      <c r="U213" s="8"/>
      <c r="V213" s="8"/>
      <c r="W213" s="8"/>
      <c r="X213" s="8"/>
      <c r="Y213" s="13">
        <v>45581</v>
      </c>
      <c r="Z213" s="8" t="s">
        <v>228</v>
      </c>
      <c r="AA213" s="14" t="s">
        <v>1261</v>
      </c>
      <c r="AD213">
        <f t="shared" si="3"/>
        <v>5</v>
      </c>
    </row>
    <row r="214" spans="1:30" ht="13" customHeight="1" x14ac:dyDescent="0.35">
      <c r="A214" s="7" t="s">
        <v>32</v>
      </c>
      <c r="B214" s="8" t="s">
        <v>33</v>
      </c>
      <c r="C214" s="8"/>
      <c r="E214" s="29" t="s">
        <v>1055</v>
      </c>
      <c r="F214" s="9" t="s">
        <v>145</v>
      </c>
      <c r="G214" s="8" t="s">
        <v>36</v>
      </c>
      <c r="H214" s="10" t="s">
        <v>795</v>
      </c>
      <c r="I214" s="8" t="s">
        <v>1262</v>
      </c>
      <c r="J214" s="8" t="s">
        <v>815</v>
      </c>
      <c r="L214" s="10" t="s">
        <v>1257</v>
      </c>
      <c r="M214" s="11" t="s">
        <v>1258</v>
      </c>
      <c r="N214" s="11" t="s">
        <v>1263</v>
      </c>
      <c r="O214" s="31" t="s">
        <v>1264</v>
      </c>
      <c r="S214" s="8"/>
      <c r="T214" s="8"/>
      <c r="X214" s="8"/>
      <c r="Y214" s="13">
        <v>45581</v>
      </c>
      <c r="Z214" s="8" t="s">
        <v>228</v>
      </c>
      <c r="AA214" s="14" t="s">
        <v>1265</v>
      </c>
      <c r="AB214" s="12" t="s">
        <v>274</v>
      </c>
      <c r="AD214">
        <f t="shared" si="3"/>
        <v>5</v>
      </c>
    </row>
    <row r="215" spans="1:30" ht="13" customHeight="1" x14ac:dyDescent="0.35">
      <c r="A215" s="7" t="s">
        <v>32</v>
      </c>
      <c r="B215" s="8" t="s">
        <v>33</v>
      </c>
      <c r="C215" s="8"/>
      <c r="E215" s="8" t="s">
        <v>1266</v>
      </c>
      <c r="F215" s="8" t="s">
        <v>145</v>
      </c>
      <c r="G215" s="8" t="s">
        <v>36</v>
      </c>
      <c r="H215" s="10" t="s">
        <v>795</v>
      </c>
      <c r="I215" s="8" t="s">
        <v>1267</v>
      </c>
      <c r="J215" s="8" t="s">
        <v>1268</v>
      </c>
      <c r="L215" s="56" t="s">
        <v>1257</v>
      </c>
      <c r="M215" s="57" t="s">
        <v>1258</v>
      </c>
      <c r="N215" s="11" t="s">
        <v>1269</v>
      </c>
      <c r="O215" s="11" t="s">
        <v>1270</v>
      </c>
      <c r="Q215" s="8"/>
      <c r="R215" s="8"/>
      <c r="S215" s="8"/>
      <c r="T215" s="8"/>
      <c r="U215" s="8"/>
      <c r="V215" s="8"/>
      <c r="W215" s="8"/>
      <c r="X215" s="8"/>
      <c r="Y215" s="13">
        <v>45603</v>
      </c>
      <c r="Z215" s="8" t="s">
        <v>228</v>
      </c>
      <c r="AA215" s="14" t="s">
        <v>1271</v>
      </c>
      <c r="AD215">
        <f t="shared" si="3"/>
        <v>5</v>
      </c>
    </row>
    <row r="216" spans="1:30" ht="13" customHeight="1" x14ac:dyDescent="0.35">
      <c r="A216" s="7" t="s">
        <v>32</v>
      </c>
      <c r="B216" s="8" t="s">
        <v>438</v>
      </c>
      <c r="C216" s="8"/>
      <c r="E216" s="8" t="s">
        <v>1272</v>
      </c>
      <c r="F216" s="9" t="s">
        <v>145</v>
      </c>
      <c r="G216" s="8" t="s">
        <v>36</v>
      </c>
      <c r="H216" s="10" t="s">
        <v>440</v>
      </c>
      <c r="I216" s="8" t="s">
        <v>1273</v>
      </c>
      <c r="J216" s="8" t="s">
        <v>432</v>
      </c>
      <c r="K216" s="8" t="s">
        <v>40</v>
      </c>
      <c r="L216" s="72" t="s">
        <v>1274</v>
      </c>
      <c r="M216" s="57" t="s">
        <v>1275</v>
      </c>
      <c r="N216" s="10" t="s">
        <v>1276</v>
      </c>
      <c r="O216" s="11" t="s">
        <v>1277</v>
      </c>
      <c r="Q216" s="8"/>
      <c r="R216" s="8"/>
      <c r="S216" s="8"/>
      <c r="T216" s="8"/>
      <c r="U216" s="8"/>
      <c r="V216" s="8"/>
      <c r="W216" s="8"/>
      <c r="X216" s="8"/>
      <c r="Y216" s="13">
        <v>45615</v>
      </c>
      <c r="Z216" s="8" t="s">
        <v>228</v>
      </c>
      <c r="AA216" s="14" t="s">
        <v>1278</v>
      </c>
      <c r="AB216" s="15" t="s">
        <v>1279</v>
      </c>
      <c r="AD216">
        <f t="shared" si="3"/>
        <v>2</v>
      </c>
    </row>
    <row r="217" spans="1:30" ht="13" customHeight="1" x14ac:dyDescent="0.35">
      <c r="A217" s="7" t="s">
        <v>32</v>
      </c>
      <c r="B217" s="8" t="s">
        <v>438</v>
      </c>
      <c r="C217" s="8"/>
      <c r="E217" s="8" t="s">
        <v>1280</v>
      </c>
      <c r="F217" s="9" t="s">
        <v>145</v>
      </c>
      <c r="G217" s="8" t="s">
        <v>36</v>
      </c>
      <c r="H217" s="10" t="s">
        <v>440</v>
      </c>
      <c r="I217" s="8" t="s">
        <v>1281</v>
      </c>
      <c r="J217" s="8" t="s">
        <v>432</v>
      </c>
      <c r="K217" s="8" t="s">
        <v>40</v>
      </c>
      <c r="L217" s="72" t="s">
        <v>1274</v>
      </c>
      <c r="M217" s="57" t="s">
        <v>1275</v>
      </c>
      <c r="N217" s="10" t="s">
        <v>1276</v>
      </c>
      <c r="O217" s="11" t="s">
        <v>1277</v>
      </c>
      <c r="Q217" s="8"/>
      <c r="R217" s="8"/>
      <c r="S217" s="8"/>
      <c r="T217" s="8"/>
      <c r="U217" s="8"/>
      <c r="V217" s="8"/>
      <c r="W217" s="8"/>
      <c r="X217" s="8"/>
      <c r="Y217" s="13">
        <v>45615</v>
      </c>
      <c r="Z217" s="8" t="s">
        <v>228</v>
      </c>
      <c r="AA217" s="14" t="s">
        <v>1282</v>
      </c>
      <c r="AB217" s="15" t="s">
        <v>1283</v>
      </c>
      <c r="AD217">
        <f t="shared" si="3"/>
        <v>2</v>
      </c>
    </row>
    <row r="218" spans="1:30" ht="13" customHeight="1" x14ac:dyDescent="0.35">
      <c r="A218" s="7" t="s">
        <v>32</v>
      </c>
      <c r="B218" s="8" t="s">
        <v>438</v>
      </c>
      <c r="C218" s="8"/>
      <c r="E218" s="8" t="s">
        <v>1284</v>
      </c>
      <c r="F218" s="8" t="s">
        <v>145</v>
      </c>
      <c r="G218" s="8" t="s">
        <v>336</v>
      </c>
      <c r="H218" s="10" t="s">
        <v>440</v>
      </c>
      <c r="I218" s="8" t="s">
        <v>1285</v>
      </c>
      <c r="J218" s="8" t="s">
        <v>432</v>
      </c>
      <c r="K218" s="8" t="s">
        <v>40</v>
      </c>
      <c r="L218" s="79" t="s">
        <v>1286</v>
      </c>
      <c r="M218" s="57" t="s">
        <v>1287</v>
      </c>
      <c r="N218" s="11" t="s">
        <v>1288</v>
      </c>
      <c r="O218" s="11" t="s">
        <v>1289</v>
      </c>
      <c r="Q218" s="8"/>
      <c r="R218" s="8"/>
      <c r="S218" s="8"/>
      <c r="T218" s="8"/>
      <c r="U218" s="8"/>
      <c r="V218" s="8"/>
      <c r="W218" s="8"/>
      <c r="X218" s="8"/>
      <c r="Y218" s="13">
        <v>45583</v>
      </c>
      <c r="Z218" s="8" t="s">
        <v>228</v>
      </c>
      <c r="AA218" s="14" t="s">
        <v>1290</v>
      </c>
      <c r="AB218" s="15" t="s">
        <v>1291</v>
      </c>
      <c r="AD218">
        <f t="shared" si="3"/>
        <v>2</v>
      </c>
    </row>
    <row r="219" spans="1:30" ht="13" customHeight="1" x14ac:dyDescent="0.35">
      <c r="A219" s="7" t="s">
        <v>32</v>
      </c>
      <c r="B219" s="8" t="s">
        <v>33</v>
      </c>
      <c r="C219" s="8"/>
      <c r="E219" s="8" t="s">
        <v>1292</v>
      </c>
      <c r="F219" s="8" t="s">
        <v>145</v>
      </c>
      <c r="G219" s="8" t="s">
        <v>36</v>
      </c>
      <c r="H219" s="10" t="s">
        <v>193</v>
      </c>
      <c r="I219" s="8" t="s">
        <v>1293</v>
      </c>
      <c r="J219" s="8" t="s">
        <v>432</v>
      </c>
      <c r="K219" s="8" t="s">
        <v>40</v>
      </c>
      <c r="L219" s="79" t="s">
        <v>1294</v>
      </c>
      <c r="M219" s="57" t="s">
        <v>1295</v>
      </c>
      <c r="N219" s="10" t="s">
        <v>1296</v>
      </c>
      <c r="O219" s="11" t="s">
        <v>1297</v>
      </c>
      <c r="Q219" s="8"/>
      <c r="R219" s="8"/>
      <c r="S219" s="8"/>
      <c r="T219" s="8"/>
      <c r="U219" s="8"/>
      <c r="V219" s="8"/>
      <c r="W219" s="8"/>
      <c r="X219" s="8"/>
      <c r="Y219" s="13">
        <v>45616</v>
      </c>
      <c r="Z219" s="8" t="s">
        <v>228</v>
      </c>
      <c r="AA219" s="14" t="s">
        <v>1298</v>
      </c>
      <c r="AB219" s="15" t="s">
        <v>1299</v>
      </c>
      <c r="AD219">
        <f t="shared" si="3"/>
        <v>3</v>
      </c>
    </row>
    <row r="220" spans="1:30" ht="13" customHeight="1" x14ac:dyDescent="0.35">
      <c r="A220" s="7" t="s">
        <v>32</v>
      </c>
      <c r="B220" s="8" t="s">
        <v>33</v>
      </c>
      <c r="C220" s="8"/>
      <c r="E220" s="8" t="s">
        <v>1300</v>
      </c>
      <c r="F220" s="8" t="s">
        <v>145</v>
      </c>
      <c r="G220" s="8" t="s">
        <v>36</v>
      </c>
      <c r="H220" s="10" t="s">
        <v>193</v>
      </c>
      <c r="I220" s="8" t="s">
        <v>1301</v>
      </c>
      <c r="J220" s="8" t="s">
        <v>432</v>
      </c>
      <c r="K220" s="8" t="s">
        <v>40</v>
      </c>
      <c r="L220" s="79" t="s">
        <v>1294</v>
      </c>
      <c r="M220" s="57" t="s">
        <v>1295</v>
      </c>
      <c r="N220" s="10" t="s">
        <v>1296</v>
      </c>
      <c r="O220" s="11" t="s">
        <v>1297</v>
      </c>
      <c r="Q220" s="8"/>
      <c r="R220" s="8"/>
      <c r="S220" s="8"/>
      <c r="T220" s="8"/>
      <c r="U220" s="8"/>
      <c r="V220" s="8"/>
      <c r="W220" s="8"/>
      <c r="X220" s="8"/>
      <c r="Y220" s="13">
        <v>45616</v>
      </c>
      <c r="Z220" s="8" t="s">
        <v>228</v>
      </c>
      <c r="AA220" s="14" t="s">
        <v>1302</v>
      </c>
      <c r="AB220" s="15" t="s">
        <v>1303</v>
      </c>
      <c r="AD220">
        <f t="shared" si="3"/>
        <v>3</v>
      </c>
    </row>
    <row r="221" spans="1:30" ht="13" customHeight="1" x14ac:dyDescent="0.35">
      <c r="A221" s="7" t="s">
        <v>32</v>
      </c>
      <c r="B221" s="8" t="s">
        <v>438</v>
      </c>
      <c r="C221" s="8"/>
      <c r="E221" s="8" t="s">
        <v>1304</v>
      </c>
      <c r="F221" s="9" t="s">
        <v>145</v>
      </c>
      <c r="G221" s="8" t="s">
        <v>36</v>
      </c>
      <c r="H221" s="10" t="s">
        <v>440</v>
      </c>
      <c r="I221" s="8" t="s">
        <v>1305</v>
      </c>
      <c r="J221" s="8" t="s">
        <v>432</v>
      </c>
      <c r="K221" s="8" t="s">
        <v>40</v>
      </c>
      <c r="L221" s="11" t="s">
        <v>1306</v>
      </c>
      <c r="M221" s="11" t="s">
        <v>1307</v>
      </c>
      <c r="N221" s="11" t="s">
        <v>1308</v>
      </c>
      <c r="O221" s="11" t="s">
        <v>1309</v>
      </c>
      <c r="Q221" s="8"/>
      <c r="R221" s="8"/>
      <c r="S221" s="8"/>
      <c r="T221" s="8"/>
      <c r="U221" s="8"/>
      <c r="V221" s="8"/>
      <c r="W221" s="8"/>
      <c r="X221" s="8"/>
      <c r="Y221" s="13">
        <v>45689</v>
      </c>
      <c r="Z221" s="8" t="s">
        <v>228</v>
      </c>
      <c r="AA221" s="14" t="s">
        <v>1310</v>
      </c>
      <c r="AB221" s="15" t="s">
        <v>1311</v>
      </c>
      <c r="AD221">
        <f t="shared" si="3"/>
        <v>2</v>
      </c>
    </row>
    <row r="222" spans="1:30" ht="13" customHeight="1" x14ac:dyDescent="0.35">
      <c r="A222" s="7" t="s">
        <v>32</v>
      </c>
      <c r="B222" s="8" t="s">
        <v>33</v>
      </c>
      <c r="C222" s="8"/>
      <c r="E222" s="8" t="s">
        <v>1312</v>
      </c>
      <c r="F222" s="8" t="s">
        <v>145</v>
      </c>
      <c r="G222" s="8" t="s">
        <v>36</v>
      </c>
      <c r="H222" s="10" t="s">
        <v>193</v>
      </c>
      <c r="I222" s="8" t="s">
        <v>1313</v>
      </c>
      <c r="J222" s="8" t="s">
        <v>432</v>
      </c>
      <c r="K222" s="8" t="s">
        <v>40</v>
      </c>
      <c r="L222" s="79" t="s">
        <v>1314</v>
      </c>
      <c r="M222" s="57" t="s">
        <v>1295</v>
      </c>
      <c r="N222" s="10" t="s">
        <v>1296</v>
      </c>
      <c r="O222" s="11" t="s">
        <v>1297</v>
      </c>
      <c r="Q222" s="8"/>
      <c r="R222" s="8"/>
      <c r="S222" s="8"/>
      <c r="T222" s="8"/>
      <c r="U222" s="8"/>
      <c r="V222" s="8"/>
      <c r="W222" s="8"/>
      <c r="X222" s="8"/>
      <c r="Y222" s="13">
        <v>45616</v>
      </c>
      <c r="Z222" s="8" t="s">
        <v>228</v>
      </c>
      <c r="AA222" s="14" t="s">
        <v>1315</v>
      </c>
      <c r="AB222" s="15" t="s">
        <v>1316</v>
      </c>
      <c r="AD222">
        <f t="shared" si="3"/>
        <v>3</v>
      </c>
    </row>
    <row r="223" spans="1:30" ht="13" customHeight="1" x14ac:dyDescent="0.35">
      <c r="A223" s="7" t="s">
        <v>32</v>
      </c>
      <c r="B223" s="8" t="s">
        <v>438</v>
      </c>
      <c r="C223" s="8"/>
      <c r="E223" s="8" t="s">
        <v>1317</v>
      </c>
      <c r="F223" s="9" t="s">
        <v>145</v>
      </c>
      <c r="G223" s="8" t="s">
        <v>336</v>
      </c>
      <c r="H223" s="10" t="s">
        <v>440</v>
      </c>
      <c r="I223" s="8" t="s">
        <v>1318</v>
      </c>
      <c r="J223" s="8" t="s">
        <v>432</v>
      </c>
      <c r="K223" s="8" t="s">
        <v>40</v>
      </c>
      <c r="L223" s="11" t="s">
        <v>1306</v>
      </c>
      <c r="M223" s="11" t="s">
        <v>1307</v>
      </c>
      <c r="N223" s="11" t="s">
        <v>1308</v>
      </c>
      <c r="O223" s="11" t="s">
        <v>1319</v>
      </c>
      <c r="Q223" s="8"/>
      <c r="R223" s="8"/>
      <c r="S223" s="8"/>
      <c r="T223" s="8"/>
      <c r="U223" s="8"/>
      <c r="V223" s="8"/>
      <c r="W223" s="8"/>
      <c r="X223" s="8"/>
      <c r="Y223" s="13">
        <v>45689</v>
      </c>
      <c r="Z223" s="8" t="s">
        <v>228</v>
      </c>
      <c r="AA223" s="14" t="s">
        <v>1320</v>
      </c>
      <c r="AB223" s="15" t="s">
        <v>1321</v>
      </c>
      <c r="AD223">
        <f t="shared" si="3"/>
        <v>2</v>
      </c>
    </row>
    <row r="224" spans="1:30" ht="13" customHeight="1" x14ac:dyDescent="0.35">
      <c r="A224" s="7" t="s">
        <v>32</v>
      </c>
      <c r="B224" s="8" t="s">
        <v>438</v>
      </c>
      <c r="C224" s="8"/>
      <c r="E224" s="8" t="s">
        <v>1322</v>
      </c>
      <c r="F224" s="9" t="s">
        <v>145</v>
      </c>
      <c r="G224" s="8" t="s">
        <v>336</v>
      </c>
      <c r="H224" s="10" t="s">
        <v>440</v>
      </c>
      <c r="I224" s="8" t="s">
        <v>1323</v>
      </c>
      <c r="J224" s="8" t="s">
        <v>432</v>
      </c>
      <c r="K224" s="8" t="s">
        <v>40</v>
      </c>
      <c r="L224" s="11" t="s">
        <v>1306</v>
      </c>
      <c r="M224" s="11" t="s">
        <v>1324</v>
      </c>
      <c r="N224" s="11" t="s">
        <v>1325</v>
      </c>
      <c r="O224" s="11" t="s">
        <v>1326</v>
      </c>
      <c r="Q224" s="8"/>
      <c r="R224" s="8"/>
      <c r="S224" s="8"/>
      <c r="T224" s="8"/>
      <c r="U224" s="8"/>
      <c r="V224" s="8"/>
      <c r="W224" s="8"/>
      <c r="X224" s="8"/>
      <c r="Y224" s="13">
        <v>45689</v>
      </c>
      <c r="Z224" s="8" t="s">
        <v>228</v>
      </c>
      <c r="AA224" s="14" t="s">
        <v>1327</v>
      </c>
      <c r="AB224" s="15" t="s">
        <v>1328</v>
      </c>
      <c r="AD224">
        <f t="shared" si="3"/>
        <v>1</v>
      </c>
    </row>
    <row r="225" spans="1:30" ht="13" customHeight="1" x14ac:dyDescent="0.35">
      <c r="A225" s="7" t="s">
        <v>69</v>
      </c>
      <c r="B225" s="8" t="s">
        <v>33</v>
      </c>
      <c r="C225" s="8"/>
      <c r="E225" s="29" t="s">
        <v>1329</v>
      </c>
      <c r="F225" s="9" t="s">
        <v>136</v>
      </c>
      <c r="I225" s="52"/>
      <c r="L225" s="11"/>
      <c r="M225" s="11"/>
      <c r="N225" s="11"/>
      <c r="Q225" s="84"/>
      <c r="S225" s="8"/>
      <c r="T225" s="8"/>
      <c r="X225" s="8"/>
      <c r="AA225" s="14" t="s">
        <v>1330</v>
      </c>
      <c r="AB225" s="15"/>
      <c r="AD225" t="str">
        <f t="shared" si="3"/>
        <v/>
      </c>
    </row>
    <row r="226" spans="1:30" ht="13" customHeight="1" x14ac:dyDescent="0.35">
      <c r="A226" s="7" t="s">
        <v>32</v>
      </c>
      <c r="B226" s="8" t="s">
        <v>33</v>
      </c>
      <c r="C226" s="8"/>
      <c r="E226" s="8" t="s">
        <v>1331</v>
      </c>
      <c r="F226" s="8" t="s">
        <v>145</v>
      </c>
      <c r="G226" s="8" t="s">
        <v>36</v>
      </c>
      <c r="H226" s="10" t="s">
        <v>193</v>
      </c>
      <c r="I226" s="8" t="s">
        <v>1332</v>
      </c>
      <c r="J226" s="8" t="s">
        <v>432</v>
      </c>
      <c r="K226" s="8" t="s">
        <v>160</v>
      </c>
      <c r="L226" s="56" t="s">
        <v>1333</v>
      </c>
      <c r="M226" s="57" t="s">
        <v>1287</v>
      </c>
      <c r="N226" s="11" t="s">
        <v>1288</v>
      </c>
      <c r="O226" s="11" t="s">
        <v>1334</v>
      </c>
      <c r="Q226" s="8"/>
      <c r="R226" s="8"/>
      <c r="S226" s="8"/>
      <c r="T226" s="8"/>
      <c r="U226" s="8"/>
      <c r="V226" s="8"/>
      <c r="W226" s="8"/>
      <c r="X226" s="8"/>
      <c r="Y226" s="13">
        <v>45581</v>
      </c>
      <c r="Z226" s="8" t="s">
        <v>228</v>
      </c>
      <c r="AA226" s="14" t="s">
        <v>1335</v>
      </c>
      <c r="AB226" s="15" t="s">
        <v>1336</v>
      </c>
      <c r="AD226">
        <f t="shared" si="3"/>
        <v>2</v>
      </c>
    </row>
    <row r="227" spans="1:30" ht="13" customHeight="1" x14ac:dyDescent="0.35">
      <c r="A227" s="7" t="s">
        <v>32</v>
      </c>
      <c r="B227" s="8" t="s">
        <v>33</v>
      </c>
      <c r="C227" s="8"/>
      <c r="E227" s="8" t="s">
        <v>1337</v>
      </c>
      <c r="F227" s="8" t="s">
        <v>145</v>
      </c>
      <c r="G227" s="8" t="s">
        <v>36</v>
      </c>
      <c r="H227" s="10" t="s">
        <v>193</v>
      </c>
      <c r="I227" s="8" t="s">
        <v>1338</v>
      </c>
      <c r="J227" s="8" t="s">
        <v>432</v>
      </c>
      <c r="K227" s="8" t="s">
        <v>160</v>
      </c>
      <c r="L227" s="79" t="s">
        <v>1339</v>
      </c>
      <c r="M227" s="57" t="s">
        <v>1340</v>
      </c>
      <c r="N227" s="10" t="s">
        <v>1341</v>
      </c>
      <c r="O227" s="11" t="s">
        <v>1342</v>
      </c>
      <c r="Q227" s="8"/>
      <c r="R227" s="8"/>
      <c r="S227" s="8"/>
      <c r="T227" s="8"/>
      <c r="U227" s="8"/>
      <c r="V227" s="8"/>
      <c r="W227" s="8"/>
      <c r="X227" s="8"/>
      <c r="Y227" s="13">
        <v>45581</v>
      </c>
      <c r="Z227" s="8" t="s">
        <v>228</v>
      </c>
      <c r="AA227" s="14" t="s">
        <v>1343</v>
      </c>
      <c r="AB227" s="15" t="s">
        <v>1344</v>
      </c>
      <c r="AD227">
        <f t="shared" si="3"/>
        <v>4</v>
      </c>
    </row>
    <row r="228" spans="1:30" ht="13" customHeight="1" x14ac:dyDescent="0.35">
      <c r="A228" s="7" t="s">
        <v>32</v>
      </c>
      <c r="B228" s="8" t="s">
        <v>33</v>
      </c>
      <c r="C228" s="8"/>
      <c r="E228" s="8" t="s">
        <v>1304</v>
      </c>
      <c r="F228" s="9" t="s">
        <v>145</v>
      </c>
      <c r="G228" s="8" t="s">
        <v>36</v>
      </c>
      <c r="H228" s="10" t="s">
        <v>591</v>
      </c>
      <c r="I228" s="8" t="s">
        <v>1345</v>
      </c>
      <c r="J228" s="8" t="s">
        <v>432</v>
      </c>
      <c r="L228" s="79" t="s">
        <v>1306</v>
      </c>
      <c r="M228" s="57" t="s">
        <v>1307</v>
      </c>
      <c r="N228" s="11" t="s">
        <v>1308</v>
      </c>
      <c r="O228" s="11" t="s">
        <v>1346</v>
      </c>
      <c r="Q228" s="8"/>
      <c r="R228" s="8"/>
      <c r="S228" s="8"/>
      <c r="T228" s="8"/>
      <c r="U228" s="8"/>
      <c r="V228" s="8"/>
      <c r="W228" s="8"/>
      <c r="X228" s="8"/>
      <c r="Y228" s="13">
        <v>45589</v>
      </c>
      <c r="AA228" s="14" t="s">
        <v>1347</v>
      </c>
      <c r="AD228">
        <f t="shared" si="3"/>
        <v>2</v>
      </c>
    </row>
    <row r="229" spans="1:30" ht="13" customHeight="1" x14ac:dyDescent="0.35">
      <c r="A229" s="7" t="s">
        <v>32</v>
      </c>
      <c r="B229" s="8" t="s">
        <v>33</v>
      </c>
      <c r="C229" s="8"/>
      <c r="E229" s="8" t="s">
        <v>1348</v>
      </c>
      <c r="F229" s="8" t="s">
        <v>145</v>
      </c>
      <c r="G229" s="8" t="s">
        <v>336</v>
      </c>
      <c r="H229" s="10" t="s">
        <v>193</v>
      </c>
      <c r="I229" s="8" t="s">
        <v>1349</v>
      </c>
      <c r="J229" s="8" t="s">
        <v>1350</v>
      </c>
      <c r="L229" s="56" t="s">
        <v>1351</v>
      </c>
      <c r="M229" s="57" t="s">
        <v>1352</v>
      </c>
      <c r="N229" s="11" t="s">
        <v>1353</v>
      </c>
      <c r="O229" s="55" t="s">
        <v>1354</v>
      </c>
      <c r="Q229" s="8"/>
      <c r="R229" s="8"/>
      <c r="S229" s="8"/>
      <c r="T229" s="8"/>
      <c r="U229" s="8"/>
      <c r="V229" s="8"/>
      <c r="W229" s="8"/>
      <c r="X229" s="8"/>
      <c r="Y229" s="13">
        <v>45583</v>
      </c>
      <c r="Z229" s="8" t="s">
        <v>228</v>
      </c>
      <c r="AA229" s="14" t="s">
        <v>1355</v>
      </c>
      <c r="AD229">
        <f t="shared" si="3"/>
        <v>3</v>
      </c>
    </row>
    <row r="230" spans="1:30" ht="13" customHeight="1" x14ac:dyDescent="0.35">
      <c r="A230" s="7" t="s">
        <v>32</v>
      </c>
      <c r="B230" s="8" t="s">
        <v>33</v>
      </c>
      <c r="C230" s="8"/>
      <c r="E230" s="8" t="s">
        <v>1356</v>
      </c>
      <c r="F230" s="8" t="s">
        <v>145</v>
      </c>
      <c r="G230" s="8" t="s">
        <v>36</v>
      </c>
      <c r="H230" s="10" t="s">
        <v>193</v>
      </c>
      <c r="I230" s="8" t="s">
        <v>1357</v>
      </c>
      <c r="J230" s="8" t="s">
        <v>1358</v>
      </c>
      <c r="K230" s="8" t="s">
        <v>40</v>
      </c>
      <c r="L230" s="56" t="s">
        <v>1359</v>
      </c>
      <c r="M230" s="57" t="s">
        <v>1182</v>
      </c>
      <c r="N230" s="11" t="s">
        <v>1183</v>
      </c>
      <c r="O230" s="11" t="s">
        <v>1360</v>
      </c>
      <c r="Q230" s="8"/>
      <c r="R230" s="8"/>
      <c r="S230" s="8"/>
      <c r="T230" s="8"/>
      <c r="U230" s="8"/>
      <c r="V230" s="8"/>
      <c r="W230" s="8"/>
      <c r="X230" s="8"/>
      <c r="Y230" s="13">
        <v>45583</v>
      </c>
      <c r="AA230" s="14" t="s">
        <v>1361</v>
      </c>
      <c r="AB230" s="15" t="s">
        <v>1362</v>
      </c>
      <c r="AD230">
        <f t="shared" si="3"/>
        <v>3</v>
      </c>
    </row>
    <row r="231" spans="1:30" ht="13" customHeight="1" x14ac:dyDescent="0.35">
      <c r="A231" s="7" t="s">
        <v>32</v>
      </c>
      <c r="B231" s="8" t="s">
        <v>33</v>
      </c>
      <c r="C231" s="8"/>
      <c r="E231" s="8" t="s">
        <v>1363</v>
      </c>
      <c r="F231" s="8" t="s">
        <v>145</v>
      </c>
      <c r="G231" s="8" t="s">
        <v>36</v>
      </c>
      <c r="H231" s="10" t="s">
        <v>193</v>
      </c>
      <c r="I231" s="8" t="s">
        <v>1364</v>
      </c>
      <c r="J231" s="8" t="s">
        <v>1365</v>
      </c>
      <c r="K231" s="8" t="s">
        <v>160</v>
      </c>
      <c r="L231" s="56" t="s">
        <v>1366</v>
      </c>
      <c r="M231" s="72" t="s">
        <v>1367</v>
      </c>
      <c r="N231" s="78" t="s">
        <v>1368</v>
      </c>
      <c r="O231" s="11"/>
      <c r="Q231" s="8"/>
      <c r="R231" s="8"/>
      <c r="S231" s="8"/>
      <c r="T231" s="8"/>
      <c r="U231" s="8"/>
      <c r="V231" s="8"/>
      <c r="W231" s="8"/>
      <c r="X231" s="8"/>
      <c r="Y231" s="13">
        <v>45583</v>
      </c>
      <c r="Z231" s="8" t="s">
        <v>228</v>
      </c>
      <c r="AA231" s="14" t="s">
        <v>1369</v>
      </c>
      <c r="AB231" s="15" t="s">
        <v>1370</v>
      </c>
      <c r="AD231">
        <f t="shared" si="3"/>
        <v>1</v>
      </c>
    </row>
    <row r="232" spans="1:30" ht="13" customHeight="1" x14ac:dyDescent="0.35">
      <c r="A232" s="7" t="s">
        <v>32</v>
      </c>
      <c r="B232" s="8" t="s">
        <v>33</v>
      </c>
      <c r="C232" s="8"/>
      <c r="E232" s="8" t="s">
        <v>1371</v>
      </c>
      <c r="F232" s="8" t="s">
        <v>145</v>
      </c>
      <c r="G232" s="8" t="s">
        <v>36</v>
      </c>
      <c r="H232" s="10" t="s">
        <v>193</v>
      </c>
      <c r="I232" s="8" t="s">
        <v>1372</v>
      </c>
      <c r="J232" s="8" t="s">
        <v>1358</v>
      </c>
      <c r="K232" s="8" t="s">
        <v>40</v>
      </c>
      <c r="L232" s="56" t="s">
        <v>1373</v>
      </c>
      <c r="M232" s="57" t="s">
        <v>1194</v>
      </c>
      <c r="N232" s="11" t="s">
        <v>1195</v>
      </c>
      <c r="O232" s="11"/>
      <c r="Q232" s="8"/>
      <c r="R232" s="8"/>
      <c r="S232" s="8"/>
      <c r="T232" s="8"/>
      <c r="U232" s="8"/>
      <c r="V232" s="8"/>
      <c r="W232" s="8"/>
      <c r="X232" s="8"/>
      <c r="Y232" s="13">
        <v>45583</v>
      </c>
      <c r="Z232" s="8" t="s">
        <v>228</v>
      </c>
      <c r="AA232" s="14" t="s">
        <v>1374</v>
      </c>
      <c r="AB232" s="15" t="s">
        <v>1375</v>
      </c>
      <c r="AD232">
        <f t="shared" si="3"/>
        <v>4</v>
      </c>
    </row>
    <row r="233" spans="1:30" ht="13" customHeight="1" x14ac:dyDescent="0.35">
      <c r="A233" s="7" t="s">
        <v>32</v>
      </c>
      <c r="B233" s="8" t="s">
        <v>33</v>
      </c>
      <c r="C233" s="8"/>
      <c r="E233" s="8" t="s">
        <v>1376</v>
      </c>
      <c r="F233" s="8" t="s">
        <v>145</v>
      </c>
      <c r="G233" s="8" t="s">
        <v>36</v>
      </c>
      <c r="H233" s="10" t="s">
        <v>193</v>
      </c>
      <c r="I233" s="8" t="s">
        <v>1377</v>
      </c>
      <c r="J233" s="8" t="s">
        <v>1358</v>
      </c>
      <c r="K233" s="8" t="s">
        <v>40</v>
      </c>
      <c r="L233" s="56" t="s">
        <v>1333</v>
      </c>
      <c r="M233" s="57" t="s">
        <v>1287</v>
      </c>
      <c r="N233" s="11" t="s">
        <v>1288</v>
      </c>
      <c r="O233" s="11" t="s">
        <v>1378</v>
      </c>
      <c r="Q233" s="8"/>
      <c r="R233" s="8"/>
      <c r="S233" s="8"/>
      <c r="T233" s="8"/>
      <c r="U233" s="8"/>
      <c r="V233" s="8"/>
      <c r="W233" s="8"/>
      <c r="X233" s="8"/>
      <c r="Y233" s="13">
        <v>45586</v>
      </c>
      <c r="Z233" s="8" t="s">
        <v>228</v>
      </c>
      <c r="AA233" s="14" t="s">
        <v>1379</v>
      </c>
      <c r="AB233" s="15" t="s">
        <v>1380</v>
      </c>
      <c r="AD233">
        <f t="shared" si="3"/>
        <v>2</v>
      </c>
    </row>
    <row r="234" spans="1:30" ht="13" customHeight="1" x14ac:dyDescent="0.35">
      <c r="A234" s="7" t="s">
        <v>32</v>
      </c>
      <c r="B234" s="8" t="s">
        <v>33</v>
      </c>
      <c r="C234" s="8"/>
      <c r="E234" s="8" t="s">
        <v>1376</v>
      </c>
      <c r="F234" s="8" t="s">
        <v>145</v>
      </c>
      <c r="G234" s="8" t="s">
        <v>36</v>
      </c>
      <c r="H234" s="10" t="s">
        <v>193</v>
      </c>
      <c r="I234" s="8" t="s">
        <v>1381</v>
      </c>
      <c r="J234" s="8" t="s">
        <v>1358</v>
      </c>
      <c r="K234" s="8" t="s">
        <v>40</v>
      </c>
      <c r="L234" s="56" t="s">
        <v>1333</v>
      </c>
      <c r="M234" s="57" t="s">
        <v>1287</v>
      </c>
      <c r="N234" s="11" t="s">
        <v>1288</v>
      </c>
      <c r="O234" s="11" t="s">
        <v>1378</v>
      </c>
      <c r="Q234" s="8"/>
      <c r="R234" s="8"/>
      <c r="S234" s="8"/>
      <c r="T234" s="8"/>
      <c r="U234" s="8"/>
      <c r="V234" s="8"/>
      <c r="W234" s="8"/>
      <c r="X234" s="8"/>
      <c r="Y234" s="13">
        <v>45586</v>
      </c>
      <c r="Z234" s="8" t="s">
        <v>228</v>
      </c>
      <c r="AA234" s="14" t="s">
        <v>1382</v>
      </c>
      <c r="AB234" s="15" t="s">
        <v>1383</v>
      </c>
      <c r="AD234">
        <f t="shared" si="3"/>
        <v>2</v>
      </c>
    </row>
    <row r="235" spans="1:30" ht="13" customHeight="1" x14ac:dyDescent="0.35">
      <c r="A235" s="7" t="s">
        <v>32</v>
      </c>
      <c r="B235" s="8" t="s">
        <v>33</v>
      </c>
      <c r="C235" s="8"/>
      <c r="E235" s="8" t="s">
        <v>1384</v>
      </c>
      <c r="F235" s="8" t="s">
        <v>103</v>
      </c>
      <c r="G235" s="8" t="s">
        <v>336</v>
      </c>
      <c r="H235" s="10" t="s">
        <v>223</v>
      </c>
      <c r="I235" s="8" t="s">
        <v>1385</v>
      </c>
      <c r="J235" s="8" t="s">
        <v>1365</v>
      </c>
      <c r="K235" s="8" t="s">
        <v>1142</v>
      </c>
      <c r="L235" s="79" t="s">
        <v>1228</v>
      </c>
      <c r="M235" s="57" t="s">
        <v>1386</v>
      </c>
      <c r="N235" s="11" t="s">
        <v>1230</v>
      </c>
      <c r="O235" s="11" t="s">
        <v>1387</v>
      </c>
      <c r="Q235" s="8"/>
      <c r="R235" s="8"/>
      <c r="S235" s="8"/>
      <c r="T235" s="8"/>
      <c r="U235" s="8"/>
      <c r="V235" s="8"/>
      <c r="W235" s="8"/>
      <c r="X235" s="8"/>
      <c r="Y235" s="13">
        <v>45526</v>
      </c>
      <c r="Z235" s="8" t="s">
        <v>228</v>
      </c>
      <c r="AA235" s="14" t="s">
        <v>1388</v>
      </c>
      <c r="AB235" s="15" t="s">
        <v>1389</v>
      </c>
      <c r="AD235">
        <f t="shared" si="3"/>
        <v>6</v>
      </c>
    </row>
    <row r="236" spans="1:30" ht="13" customHeight="1" x14ac:dyDescent="0.35">
      <c r="A236" s="7" t="s">
        <v>32</v>
      </c>
      <c r="B236" s="8" t="s">
        <v>438</v>
      </c>
      <c r="C236" s="8"/>
      <c r="E236" s="8" t="s">
        <v>1390</v>
      </c>
      <c r="F236" s="9" t="s">
        <v>145</v>
      </c>
      <c r="G236" s="8" t="s">
        <v>336</v>
      </c>
      <c r="H236" s="10" t="s">
        <v>440</v>
      </c>
      <c r="I236" s="8" t="s">
        <v>1391</v>
      </c>
      <c r="J236" s="8" t="s">
        <v>1358</v>
      </c>
      <c r="K236" s="8" t="s">
        <v>40</v>
      </c>
      <c r="L236" s="11" t="s">
        <v>1392</v>
      </c>
      <c r="M236" s="11" t="s">
        <v>1393</v>
      </c>
      <c r="N236" s="11" t="s">
        <v>1394</v>
      </c>
      <c r="O236" s="11" t="s">
        <v>1395</v>
      </c>
      <c r="Q236" s="8"/>
      <c r="R236" s="8"/>
      <c r="S236" s="8"/>
      <c r="T236" s="8"/>
      <c r="U236" s="8"/>
      <c r="V236" s="8"/>
      <c r="W236" s="8"/>
      <c r="X236" s="8"/>
      <c r="Y236" s="13">
        <v>45616</v>
      </c>
      <c r="AA236" s="14" t="s">
        <v>1396</v>
      </c>
      <c r="AB236" s="15" t="s">
        <v>1397</v>
      </c>
      <c r="AD236">
        <f t="shared" si="3"/>
        <v>3</v>
      </c>
    </row>
    <row r="237" spans="1:30" ht="13" customHeight="1" x14ac:dyDescent="0.35">
      <c r="A237" s="7" t="s">
        <v>32</v>
      </c>
      <c r="B237" s="8" t="s">
        <v>33</v>
      </c>
      <c r="C237" s="8"/>
      <c r="E237" s="8" t="s">
        <v>1398</v>
      </c>
      <c r="F237" s="8" t="s">
        <v>103</v>
      </c>
      <c r="G237" s="8" t="s">
        <v>336</v>
      </c>
      <c r="H237" s="10" t="s">
        <v>223</v>
      </c>
      <c r="I237" s="8" t="s">
        <v>1399</v>
      </c>
      <c r="J237" s="8" t="s">
        <v>1365</v>
      </c>
      <c r="K237" s="8" t="s">
        <v>1142</v>
      </c>
      <c r="L237" s="79" t="s">
        <v>1400</v>
      </c>
      <c r="M237" s="57" t="s">
        <v>1386</v>
      </c>
      <c r="N237" s="11" t="s">
        <v>1230</v>
      </c>
      <c r="O237" s="11" t="s">
        <v>1401</v>
      </c>
      <c r="Q237" s="8"/>
      <c r="R237" s="8"/>
      <c r="S237" s="8"/>
      <c r="T237" s="8"/>
      <c r="U237" s="8"/>
      <c r="V237" s="8"/>
      <c r="W237" s="8"/>
      <c r="X237" s="8"/>
      <c r="Y237" s="13">
        <v>45520</v>
      </c>
      <c r="Z237" s="8" t="s">
        <v>228</v>
      </c>
      <c r="AA237" s="14" t="s">
        <v>1402</v>
      </c>
      <c r="AB237" s="15" t="s">
        <v>1403</v>
      </c>
      <c r="AD237">
        <f t="shared" si="3"/>
        <v>6</v>
      </c>
    </row>
    <row r="238" spans="1:30" ht="13" customHeight="1" x14ac:dyDescent="0.35">
      <c r="A238" s="7" t="s">
        <v>32</v>
      </c>
      <c r="B238" s="8" t="s">
        <v>33</v>
      </c>
      <c r="C238" s="8"/>
      <c r="E238" s="8" t="s">
        <v>1390</v>
      </c>
      <c r="F238" s="9" t="s">
        <v>145</v>
      </c>
      <c r="G238" s="8" t="s">
        <v>36</v>
      </c>
      <c r="H238" s="10" t="s">
        <v>223</v>
      </c>
      <c r="I238" s="8" t="s">
        <v>1404</v>
      </c>
      <c r="J238" s="8" t="s">
        <v>1358</v>
      </c>
      <c r="K238" s="8" t="s">
        <v>40</v>
      </c>
      <c r="L238" s="56" t="s">
        <v>1405</v>
      </c>
      <c r="M238" s="57" t="s">
        <v>1393</v>
      </c>
      <c r="N238" s="11" t="s">
        <v>1394</v>
      </c>
      <c r="O238" s="11" t="s">
        <v>1395</v>
      </c>
      <c r="Q238" s="8"/>
      <c r="R238" s="8"/>
      <c r="S238" s="8"/>
      <c r="T238" s="8"/>
      <c r="U238" s="8"/>
      <c r="V238" s="8"/>
      <c r="W238" s="8"/>
      <c r="X238" s="8"/>
      <c r="Y238" s="13">
        <v>45558</v>
      </c>
      <c r="AA238" s="14" t="s">
        <v>1406</v>
      </c>
      <c r="AB238" s="15" t="s">
        <v>1407</v>
      </c>
      <c r="AD238">
        <f t="shared" si="3"/>
        <v>3</v>
      </c>
    </row>
    <row r="239" spans="1:30" ht="13" customHeight="1" x14ac:dyDescent="0.35">
      <c r="A239" s="7" t="s">
        <v>32</v>
      </c>
      <c r="B239" s="8" t="s">
        <v>33</v>
      </c>
      <c r="C239" s="8"/>
      <c r="E239" s="8" t="s">
        <v>1408</v>
      </c>
      <c r="F239" s="9" t="s">
        <v>145</v>
      </c>
      <c r="G239" s="8" t="s">
        <v>36</v>
      </c>
      <c r="H239" s="10" t="s">
        <v>591</v>
      </c>
      <c r="I239" s="8" t="s">
        <v>1409</v>
      </c>
      <c r="J239" s="8" t="s">
        <v>1358</v>
      </c>
      <c r="L239" s="56" t="s">
        <v>1405</v>
      </c>
      <c r="M239" s="57" t="s">
        <v>1393</v>
      </c>
      <c r="N239" s="11" t="s">
        <v>1394</v>
      </c>
      <c r="O239" s="11" t="s">
        <v>1395</v>
      </c>
      <c r="Q239" s="8"/>
      <c r="R239" s="8"/>
      <c r="S239" s="8"/>
      <c r="T239" s="8"/>
      <c r="U239" s="8"/>
      <c r="V239" s="8"/>
      <c r="W239" s="8"/>
      <c r="X239" s="8"/>
      <c r="Y239" s="13">
        <v>45550</v>
      </c>
      <c r="AA239" s="14" t="s">
        <v>1410</v>
      </c>
      <c r="AD239">
        <f t="shared" si="3"/>
        <v>3</v>
      </c>
    </row>
    <row r="240" spans="1:30" ht="13" customHeight="1" x14ac:dyDescent="0.35">
      <c r="A240" s="7" t="s">
        <v>32</v>
      </c>
      <c r="B240" s="8" t="s">
        <v>33</v>
      </c>
      <c r="C240" s="8"/>
      <c r="E240" s="8" t="s">
        <v>1411</v>
      </c>
      <c r="F240" s="8" t="s">
        <v>145</v>
      </c>
      <c r="G240" s="8" t="s">
        <v>336</v>
      </c>
      <c r="H240" s="10" t="s">
        <v>795</v>
      </c>
      <c r="I240" s="8" t="s">
        <v>1412</v>
      </c>
      <c r="J240" s="8" t="s">
        <v>987</v>
      </c>
      <c r="K240" s="8" t="s">
        <v>160</v>
      </c>
      <c r="L240" s="79" t="s">
        <v>1413</v>
      </c>
      <c r="M240" s="57" t="s">
        <v>1414</v>
      </c>
      <c r="N240" s="11" t="s">
        <v>1415</v>
      </c>
      <c r="O240" s="11" t="s">
        <v>1416</v>
      </c>
      <c r="Q240" s="8"/>
      <c r="R240" s="8"/>
      <c r="S240" s="8"/>
      <c r="T240" s="8"/>
      <c r="U240" s="8"/>
      <c r="V240" s="8"/>
      <c r="W240" s="8"/>
      <c r="X240" s="8"/>
      <c r="Y240" s="13">
        <v>45631</v>
      </c>
      <c r="Z240" s="8" t="s">
        <v>802</v>
      </c>
      <c r="AA240" s="14" t="s">
        <v>1417</v>
      </c>
      <c r="AB240" s="15" t="s">
        <v>1418</v>
      </c>
      <c r="AD240">
        <f t="shared" si="3"/>
        <v>3</v>
      </c>
    </row>
    <row r="241" spans="1:30" ht="13" customHeight="1" x14ac:dyDescent="0.35">
      <c r="A241" s="7" t="s">
        <v>32</v>
      </c>
      <c r="B241" s="8" t="s">
        <v>33</v>
      </c>
      <c r="C241" s="8"/>
      <c r="E241" s="8" t="s">
        <v>1419</v>
      </c>
      <c r="F241" s="8" t="s">
        <v>145</v>
      </c>
      <c r="G241" s="8" t="s">
        <v>36</v>
      </c>
      <c r="H241" s="10" t="s">
        <v>193</v>
      </c>
      <c r="I241" s="8" t="s">
        <v>1420</v>
      </c>
      <c r="J241" s="8" t="s">
        <v>1358</v>
      </c>
      <c r="K241" s="8" t="s">
        <v>599</v>
      </c>
      <c r="L241" s="56" t="s">
        <v>1333</v>
      </c>
      <c r="M241" s="57" t="s">
        <v>1287</v>
      </c>
      <c r="N241" s="11" t="s">
        <v>1288</v>
      </c>
      <c r="O241" s="11"/>
      <c r="Q241" s="8"/>
      <c r="R241" s="8"/>
      <c r="S241" s="8"/>
      <c r="T241" s="8"/>
      <c r="U241" s="8"/>
      <c r="V241" s="8"/>
      <c r="W241" s="8"/>
      <c r="X241" s="8"/>
      <c r="Y241" s="13">
        <v>45586</v>
      </c>
      <c r="Z241" s="8" t="s">
        <v>228</v>
      </c>
      <c r="AA241" s="14" t="s">
        <v>1421</v>
      </c>
      <c r="AB241" s="15" t="s">
        <v>1422</v>
      </c>
      <c r="AD241">
        <f t="shared" si="3"/>
        <v>2</v>
      </c>
    </row>
    <row r="242" spans="1:30" ht="13" customHeight="1" x14ac:dyDescent="0.35">
      <c r="A242" s="7" t="s">
        <v>32</v>
      </c>
      <c r="B242" s="8" t="s">
        <v>33</v>
      </c>
      <c r="C242" s="8"/>
      <c r="E242" s="8" t="s">
        <v>1423</v>
      </c>
      <c r="F242" s="8" t="s">
        <v>145</v>
      </c>
      <c r="G242" s="8" t="s">
        <v>36</v>
      </c>
      <c r="H242" s="10" t="s">
        <v>193</v>
      </c>
      <c r="I242" s="8" t="s">
        <v>1424</v>
      </c>
      <c r="J242" s="8" t="s">
        <v>39</v>
      </c>
      <c r="K242" s="8" t="s">
        <v>599</v>
      </c>
      <c r="L242" s="79" t="s">
        <v>1425</v>
      </c>
      <c r="M242" s="57" t="s">
        <v>1426</v>
      </c>
      <c r="N242" s="11" t="s">
        <v>1427</v>
      </c>
      <c r="O242" s="11" t="s">
        <v>1428</v>
      </c>
      <c r="Q242" s="8"/>
      <c r="R242" s="8"/>
      <c r="S242" s="8"/>
      <c r="T242" s="8"/>
      <c r="U242" s="8"/>
      <c r="V242" s="8"/>
      <c r="W242" s="8"/>
      <c r="X242" s="8"/>
      <c r="Y242" s="13">
        <v>45586</v>
      </c>
      <c r="Z242" s="8" t="s">
        <v>228</v>
      </c>
      <c r="AA242" s="14" t="s">
        <v>1429</v>
      </c>
      <c r="AB242" s="15" t="s">
        <v>1430</v>
      </c>
      <c r="AD242">
        <f t="shared" si="3"/>
        <v>3</v>
      </c>
    </row>
    <row r="243" spans="1:30" ht="13" customHeight="1" x14ac:dyDescent="0.35">
      <c r="A243" s="7" t="s">
        <v>32</v>
      </c>
      <c r="B243" s="8" t="s">
        <v>48</v>
      </c>
      <c r="C243" s="8"/>
      <c r="D243" s="8" t="s">
        <v>49</v>
      </c>
      <c r="E243" s="16" t="s">
        <v>1201</v>
      </c>
      <c r="F243" s="9" t="s">
        <v>145</v>
      </c>
      <c r="G243" s="8" t="s">
        <v>174</v>
      </c>
      <c r="I243" s="16" t="s">
        <v>1431</v>
      </c>
      <c r="J243" s="16" t="s">
        <v>54</v>
      </c>
      <c r="K243" s="8" t="s">
        <v>132</v>
      </c>
      <c r="L243" s="70" t="s">
        <v>1203</v>
      </c>
      <c r="M243" s="70" t="s">
        <v>1204</v>
      </c>
      <c r="N243" s="101" t="s">
        <v>1205</v>
      </c>
      <c r="O243" s="68" t="s">
        <v>1432</v>
      </c>
      <c r="P243" s="16" t="s">
        <v>66</v>
      </c>
      <c r="Q243" s="71" t="s">
        <v>425</v>
      </c>
      <c r="R243" s="16" t="s">
        <v>60</v>
      </c>
      <c r="S243" s="8"/>
      <c r="T243" s="8"/>
      <c r="U243" s="8"/>
      <c r="V243" s="8"/>
      <c r="W243" s="8"/>
      <c r="X243" s="8"/>
      <c r="Y243" s="8"/>
      <c r="AA243" s="14" t="s">
        <v>1433</v>
      </c>
      <c r="AD243">
        <f t="shared" si="3"/>
        <v>1</v>
      </c>
    </row>
    <row r="244" spans="1:30" ht="13" customHeight="1" x14ac:dyDescent="0.35">
      <c r="A244" s="7" t="s">
        <v>32</v>
      </c>
      <c r="B244" s="8" t="s">
        <v>33</v>
      </c>
      <c r="C244" s="8"/>
      <c r="E244" s="8" t="s">
        <v>1434</v>
      </c>
      <c r="F244" s="8" t="s">
        <v>145</v>
      </c>
      <c r="G244" s="8" t="s">
        <v>36</v>
      </c>
      <c r="H244" s="10" t="s">
        <v>1435</v>
      </c>
      <c r="I244" s="8" t="s">
        <v>1436</v>
      </c>
      <c r="J244" s="8" t="s">
        <v>1365</v>
      </c>
      <c r="K244" s="8" t="s">
        <v>40</v>
      </c>
      <c r="L244" s="56" t="s">
        <v>1437</v>
      </c>
      <c r="M244" s="57" t="s">
        <v>1438</v>
      </c>
      <c r="N244" s="11" t="s">
        <v>1439</v>
      </c>
      <c r="O244" s="11" t="s">
        <v>1440</v>
      </c>
      <c r="Q244" s="8"/>
      <c r="R244" s="8"/>
      <c r="S244" s="8"/>
      <c r="T244" s="8"/>
      <c r="U244" s="8"/>
      <c r="V244" s="8"/>
      <c r="W244" s="8"/>
      <c r="X244" s="8"/>
      <c r="Y244" s="13">
        <v>45586</v>
      </c>
      <c r="AA244" s="14" t="s">
        <v>1441</v>
      </c>
      <c r="AB244" s="15" t="s">
        <v>1442</v>
      </c>
      <c r="AD244">
        <f t="shared" si="3"/>
        <v>3</v>
      </c>
    </row>
    <row r="245" spans="1:30" ht="13" customHeight="1" x14ac:dyDescent="0.35">
      <c r="A245" s="7" t="s">
        <v>69</v>
      </c>
      <c r="B245" s="8" t="s">
        <v>33</v>
      </c>
      <c r="C245" s="8" t="s">
        <v>799</v>
      </c>
      <c r="E245" s="29" t="s">
        <v>1443</v>
      </c>
      <c r="F245" s="9" t="s">
        <v>103</v>
      </c>
      <c r="I245" s="8"/>
      <c r="L245" s="11"/>
      <c r="M245" s="11"/>
      <c r="N245" s="11"/>
      <c r="O245" s="31" t="s">
        <v>1444</v>
      </c>
      <c r="S245" s="8"/>
      <c r="T245" s="8"/>
      <c r="X245" s="8"/>
      <c r="AA245" s="14" t="s">
        <v>1445</v>
      </c>
      <c r="AB245" s="15" t="s">
        <v>1446</v>
      </c>
      <c r="AD245" t="str">
        <f t="shared" si="3"/>
        <v/>
      </c>
    </row>
    <row r="246" spans="1:30" ht="13" customHeight="1" x14ac:dyDescent="0.35">
      <c r="A246" s="7" t="s">
        <v>69</v>
      </c>
      <c r="B246" s="8" t="s">
        <v>33</v>
      </c>
      <c r="C246" s="8" t="s">
        <v>799</v>
      </c>
      <c r="D246" s="8" t="s">
        <v>1447</v>
      </c>
      <c r="E246" s="29" t="s">
        <v>1448</v>
      </c>
      <c r="F246" s="9" t="s">
        <v>548</v>
      </c>
      <c r="G246" s="8" t="s">
        <v>336</v>
      </c>
      <c r="H246" s="10" t="s">
        <v>882</v>
      </c>
      <c r="I246" s="8" t="s">
        <v>1449</v>
      </c>
      <c r="J246" s="8" t="s">
        <v>815</v>
      </c>
      <c r="L246" s="11" t="s">
        <v>1450</v>
      </c>
      <c r="M246" s="11" t="s">
        <v>1451</v>
      </c>
      <c r="N246" s="11" t="s">
        <v>1452</v>
      </c>
      <c r="O246" s="31" t="s">
        <v>1453</v>
      </c>
      <c r="Q246" s="84" t="s">
        <v>1454</v>
      </c>
      <c r="S246" s="8"/>
      <c r="T246" s="8"/>
      <c r="U246" s="29" t="s">
        <v>1455</v>
      </c>
      <c r="X246" s="8"/>
      <c r="AA246" s="14" t="s">
        <v>1456</v>
      </c>
      <c r="AB246" s="15" t="s">
        <v>1457</v>
      </c>
      <c r="AD246">
        <f t="shared" si="3"/>
        <v>2</v>
      </c>
    </row>
    <row r="247" spans="1:30" ht="13" customHeight="1" x14ac:dyDescent="0.35">
      <c r="A247" s="7" t="s">
        <v>69</v>
      </c>
      <c r="B247" s="8" t="s">
        <v>879</v>
      </c>
      <c r="C247" s="8" t="s">
        <v>880</v>
      </c>
      <c r="D247" s="8" t="s">
        <v>1458</v>
      </c>
      <c r="E247" s="29" t="s">
        <v>1448</v>
      </c>
      <c r="F247" s="9" t="s">
        <v>548</v>
      </c>
      <c r="G247" s="8" t="s">
        <v>336</v>
      </c>
      <c r="H247" s="10" t="s">
        <v>882</v>
      </c>
      <c r="I247" s="8" t="s">
        <v>1459</v>
      </c>
      <c r="J247" s="8" t="s">
        <v>815</v>
      </c>
      <c r="L247" s="11" t="s">
        <v>1460</v>
      </c>
      <c r="M247" s="11" t="s">
        <v>1451</v>
      </c>
      <c r="N247" s="11" t="s">
        <v>1452</v>
      </c>
      <c r="O247" s="31" t="s">
        <v>1453</v>
      </c>
      <c r="Q247" s="84" t="s">
        <v>1454</v>
      </c>
      <c r="S247" s="8"/>
      <c r="T247" s="8"/>
      <c r="U247" s="29" t="s">
        <v>1461</v>
      </c>
      <c r="X247" s="8"/>
      <c r="AA247" s="14" t="s">
        <v>1462</v>
      </c>
      <c r="AB247" s="15" t="s">
        <v>1463</v>
      </c>
      <c r="AD247">
        <f t="shared" si="3"/>
        <v>2</v>
      </c>
    </row>
    <row r="248" spans="1:30" ht="13" customHeight="1" x14ac:dyDescent="0.35">
      <c r="A248" s="7" t="s">
        <v>32</v>
      </c>
      <c r="B248" s="8" t="s">
        <v>70</v>
      </c>
      <c r="C248" s="8"/>
      <c r="D248" s="8" t="s">
        <v>120</v>
      </c>
      <c r="E248" s="9" t="s">
        <v>1464</v>
      </c>
      <c r="F248" s="9" t="s">
        <v>145</v>
      </c>
      <c r="G248" s="8" t="s">
        <v>52</v>
      </c>
      <c r="I248" s="9" t="s">
        <v>1465</v>
      </c>
      <c r="J248" s="9" t="s">
        <v>123</v>
      </c>
      <c r="K248" s="9" t="s">
        <v>55</v>
      </c>
      <c r="L248" s="48" t="s">
        <v>1466</v>
      </c>
      <c r="M248" s="44" t="s">
        <v>1467</v>
      </c>
      <c r="N248" s="44" t="s">
        <v>1468</v>
      </c>
      <c r="O248" s="43" t="s">
        <v>1469</v>
      </c>
      <c r="P248" s="9" t="s">
        <v>58</v>
      </c>
      <c r="Q248" s="82" t="s">
        <v>1470</v>
      </c>
      <c r="R248" s="9" t="s">
        <v>118</v>
      </c>
      <c r="S248" s="8"/>
      <c r="T248" s="8"/>
      <c r="U248" s="8"/>
      <c r="V248" s="8"/>
      <c r="W248" s="8"/>
      <c r="X248" s="8"/>
      <c r="Y248" s="8"/>
      <c r="AA248" s="14" t="s">
        <v>1471</v>
      </c>
      <c r="AB248" s="15"/>
      <c r="AD248">
        <f t="shared" si="3"/>
        <v>3</v>
      </c>
    </row>
    <row r="249" spans="1:30" ht="13" customHeight="1" x14ac:dyDescent="0.35">
      <c r="A249" s="7" t="s">
        <v>32</v>
      </c>
      <c r="B249" s="8" t="s">
        <v>70</v>
      </c>
      <c r="C249" s="8"/>
      <c r="D249" s="8" t="s">
        <v>120</v>
      </c>
      <c r="E249" s="9" t="s">
        <v>1472</v>
      </c>
      <c r="F249" s="9" t="s">
        <v>51</v>
      </c>
      <c r="G249" s="8" t="s">
        <v>52</v>
      </c>
      <c r="I249" s="9" t="s">
        <v>1473</v>
      </c>
      <c r="J249" s="9" t="s">
        <v>123</v>
      </c>
      <c r="K249" s="9" t="s">
        <v>55</v>
      </c>
      <c r="L249" s="35" t="s">
        <v>1474</v>
      </c>
      <c r="M249" s="43"/>
      <c r="N249" s="43"/>
      <c r="O249" s="44" t="s">
        <v>1475</v>
      </c>
      <c r="P249" s="9" t="s">
        <v>66</v>
      </c>
      <c r="Q249" s="9" t="s">
        <v>67</v>
      </c>
      <c r="R249" s="9" t="s">
        <v>118</v>
      </c>
      <c r="S249" s="8"/>
      <c r="T249" s="8"/>
      <c r="U249" s="8"/>
      <c r="V249" s="8"/>
      <c r="W249" s="8"/>
      <c r="X249" s="8"/>
      <c r="Y249" s="8"/>
      <c r="AA249" s="14" t="s">
        <v>1476</v>
      </c>
      <c r="AD249" t="str">
        <f t="shared" si="3"/>
        <v/>
      </c>
    </row>
    <row r="250" spans="1:30" ht="13" customHeight="1" x14ac:dyDescent="0.35">
      <c r="A250" s="7" t="s">
        <v>69</v>
      </c>
      <c r="B250" s="8" t="s">
        <v>879</v>
      </c>
      <c r="C250" s="8" t="s">
        <v>880</v>
      </c>
      <c r="E250" s="29" t="s">
        <v>1477</v>
      </c>
      <c r="F250" s="9" t="s">
        <v>136</v>
      </c>
      <c r="H250" s="10" t="s">
        <v>882</v>
      </c>
      <c r="I250" s="52"/>
      <c r="L250" s="11" t="s">
        <v>1478</v>
      </c>
      <c r="M250" s="11" t="s">
        <v>1479</v>
      </c>
      <c r="N250" s="11" t="s">
        <v>1480</v>
      </c>
      <c r="O250" s="31" t="s">
        <v>1481</v>
      </c>
      <c r="Q250" s="84"/>
      <c r="S250" s="8"/>
      <c r="T250" s="8"/>
      <c r="X250" s="8"/>
      <c r="Z250" s="8" t="s">
        <v>228</v>
      </c>
      <c r="AA250" s="14" t="s">
        <v>1482</v>
      </c>
      <c r="AB250" s="15" t="s">
        <v>1483</v>
      </c>
      <c r="AD250">
        <f t="shared" si="3"/>
        <v>3</v>
      </c>
    </row>
    <row r="251" spans="1:30" ht="13" customHeight="1" x14ac:dyDescent="0.35">
      <c r="A251" s="7" t="s">
        <v>69</v>
      </c>
      <c r="B251" s="8" t="s">
        <v>33</v>
      </c>
      <c r="C251" s="8" t="s">
        <v>799</v>
      </c>
      <c r="E251" s="29" t="s">
        <v>1477</v>
      </c>
      <c r="F251" s="9" t="s">
        <v>136</v>
      </c>
      <c r="H251" s="10" t="s">
        <v>882</v>
      </c>
      <c r="I251" s="52"/>
      <c r="L251" s="11" t="s">
        <v>1478</v>
      </c>
      <c r="M251" s="11" t="s">
        <v>1479</v>
      </c>
      <c r="N251" s="11" t="s">
        <v>1480</v>
      </c>
      <c r="O251" s="31" t="s">
        <v>1481</v>
      </c>
      <c r="Q251" s="84"/>
      <c r="S251" s="8"/>
      <c r="T251" s="8"/>
      <c r="X251" s="8"/>
      <c r="Z251" s="8" t="s">
        <v>228</v>
      </c>
      <c r="AA251" s="14" t="s">
        <v>1484</v>
      </c>
      <c r="AB251" s="15" t="s">
        <v>1483</v>
      </c>
      <c r="AD251">
        <f t="shared" si="3"/>
        <v>3</v>
      </c>
    </row>
    <row r="252" spans="1:30" ht="13" customHeight="1" x14ac:dyDescent="0.35">
      <c r="A252" s="7" t="s">
        <v>69</v>
      </c>
      <c r="B252" s="8" t="s">
        <v>879</v>
      </c>
      <c r="C252" s="8" t="s">
        <v>880</v>
      </c>
      <c r="E252" s="29" t="s">
        <v>1485</v>
      </c>
      <c r="F252" s="9" t="s">
        <v>103</v>
      </c>
      <c r="I252" s="8"/>
      <c r="L252" s="11" t="s">
        <v>1486</v>
      </c>
      <c r="M252" s="11" t="s">
        <v>1487</v>
      </c>
      <c r="N252" s="11" t="s">
        <v>1488</v>
      </c>
      <c r="S252" s="8"/>
      <c r="T252" s="8"/>
      <c r="X252" s="8"/>
      <c r="AA252" s="14" t="s">
        <v>1489</v>
      </c>
      <c r="AB252" s="15" t="s">
        <v>810</v>
      </c>
      <c r="AD252">
        <f t="shared" si="3"/>
        <v>1</v>
      </c>
    </row>
    <row r="253" spans="1:30" ht="13" customHeight="1" x14ac:dyDescent="0.35">
      <c r="A253" s="7" t="s">
        <v>69</v>
      </c>
      <c r="B253" s="8" t="s">
        <v>879</v>
      </c>
      <c r="C253" s="8" t="s">
        <v>880</v>
      </c>
      <c r="E253" s="29" t="s">
        <v>1490</v>
      </c>
      <c r="F253" s="9" t="s">
        <v>136</v>
      </c>
      <c r="H253" s="10" t="s">
        <v>882</v>
      </c>
      <c r="I253" s="8"/>
      <c r="L253" s="11" t="s">
        <v>1491</v>
      </c>
      <c r="M253" s="11" t="s">
        <v>1492</v>
      </c>
      <c r="N253" s="11" t="s">
        <v>1493</v>
      </c>
      <c r="O253" s="31" t="s">
        <v>1494</v>
      </c>
      <c r="S253" s="8"/>
      <c r="T253" s="8"/>
      <c r="X253" s="8"/>
      <c r="Z253" s="8" t="s">
        <v>911</v>
      </c>
      <c r="AA253" s="14" t="s">
        <v>1495</v>
      </c>
      <c r="AB253" s="15" t="s">
        <v>913</v>
      </c>
      <c r="AD253">
        <f t="shared" si="3"/>
        <v>1</v>
      </c>
    </row>
    <row r="254" spans="1:30" ht="13" customHeight="1" x14ac:dyDescent="0.35">
      <c r="A254" s="7" t="s">
        <v>69</v>
      </c>
      <c r="B254" s="8" t="s">
        <v>33</v>
      </c>
      <c r="C254" s="8" t="s">
        <v>799</v>
      </c>
      <c r="E254" s="29" t="s">
        <v>1490</v>
      </c>
      <c r="F254" s="9" t="s">
        <v>136</v>
      </c>
      <c r="H254" s="10" t="s">
        <v>882</v>
      </c>
      <c r="I254" s="8"/>
      <c r="L254" s="11" t="s">
        <v>1491</v>
      </c>
      <c r="M254" s="11" t="s">
        <v>1492</v>
      </c>
      <c r="N254" s="11" t="s">
        <v>1493</v>
      </c>
      <c r="O254" s="31" t="s">
        <v>1494</v>
      </c>
      <c r="S254" s="8"/>
      <c r="T254" s="8"/>
      <c r="W254" s="29" t="s">
        <v>274</v>
      </c>
      <c r="X254" s="8"/>
      <c r="Z254" s="8" t="s">
        <v>911</v>
      </c>
      <c r="AA254" s="14" t="s">
        <v>1496</v>
      </c>
      <c r="AB254" s="15" t="s">
        <v>913</v>
      </c>
      <c r="AD254">
        <f t="shared" si="3"/>
        <v>1</v>
      </c>
    </row>
    <row r="255" spans="1:30" ht="13" customHeight="1" x14ac:dyDescent="0.35">
      <c r="A255" s="7" t="s">
        <v>32</v>
      </c>
      <c r="B255" s="8" t="s">
        <v>70</v>
      </c>
      <c r="C255" s="8"/>
      <c r="D255" s="8" t="s">
        <v>101</v>
      </c>
      <c r="E255" s="34" t="s">
        <v>1497</v>
      </c>
      <c r="F255" s="9" t="s">
        <v>51</v>
      </c>
      <c r="G255" s="34" t="s">
        <v>1498</v>
      </c>
      <c r="H255" s="35"/>
      <c r="I255" s="34" t="s">
        <v>1499</v>
      </c>
      <c r="J255" s="34" t="s">
        <v>106</v>
      </c>
      <c r="K255" s="34"/>
      <c r="L255" s="74" t="s">
        <v>736</v>
      </c>
      <c r="M255" s="74"/>
      <c r="N255" s="74"/>
      <c r="O255" s="102" t="s">
        <v>1500</v>
      </c>
      <c r="P255" s="34" t="s">
        <v>142</v>
      </c>
      <c r="Q255" s="34"/>
      <c r="R255" s="34" t="s">
        <v>110</v>
      </c>
      <c r="S255" s="8"/>
      <c r="T255" s="8"/>
      <c r="U255" s="8"/>
      <c r="V255" s="8"/>
      <c r="W255" s="8"/>
      <c r="X255" s="8"/>
      <c r="Y255" s="8"/>
      <c r="AA255" s="14" t="s">
        <v>1501</v>
      </c>
      <c r="AD255" t="str">
        <f t="shared" si="3"/>
        <v/>
      </c>
    </row>
    <row r="256" spans="1:30" ht="13" customHeight="1" x14ac:dyDescent="0.35">
      <c r="A256" s="7" t="s">
        <v>69</v>
      </c>
      <c r="B256" s="8" t="s">
        <v>890</v>
      </c>
      <c r="C256" s="8"/>
      <c r="E256" s="49" t="s">
        <v>1502</v>
      </c>
      <c r="F256" s="9" t="s">
        <v>103</v>
      </c>
      <c r="I256" s="38"/>
      <c r="J256" s="38"/>
      <c r="L256" s="41"/>
      <c r="M256" s="41"/>
      <c r="N256" s="41"/>
      <c r="O256" s="50"/>
      <c r="P256" s="38"/>
      <c r="Q256" s="49"/>
      <c r="R256" s="49"/>
      <c r="S256" s="8"/>
      <c r="T256" s="8"/>
      <c r="X256" s="8"/>
      <c r="AA256" s="14" t="s">
        <v>1503</v>
      </c>
      <c r="AB256" s="12" t="s">
        <v>810</v>
      </c>
      <c r="AD256" t="str">
        <f t="shared" si="3"/>
        <v/>
      </c>
    </row>
    <row r="257" spans="1:30" ht="13" customHeight="1" x14ac:dyDescent="0.35">
      <c r="A257" s="7" t="s">
        <v>32</v>
      </c>
      <c r="B257" s="8" t="s">
        <v>70</v>
      </c>
      <c r="C257" s="8"/>
      <c r="D257" s="8" t="s">
        <v>101</v>
      </c>
      <c r="E257" s="8" t="s">
        <v>1504</v>
      </c>
      <c r="F257" s="9" t="s">
        <v>235</v>
      </c>
      <c r="G257" s="8" t="s">
        <v>52</v>
      </c>
      <c r="I257" s="8" t="s">
        <v>1505</v>
      </c>
      <c r="J257" s="8" t="s">
        <v>106</v>
      </c>
      <c r="K257" s="8" t="s">
        <v>55</v>
      </c>
      <c r="L257" s="53" t="s">
        <v>1506</v>
      </c>
      <c r="M257" s="10" t="s">
        <v>1507</v>
      </c>
      <c r="N257" s="10"/>
      <c r="O257" s="11" t="s">
        <v>1508</v>
      </c>
      <c r="P257" s="8" t="s">
        <v>1509</v>
      </c>
      <c r="Q257" s="8" t="s">
        <v>1510</v>
      </c>
      <c r="R257" s="8" t="s">
        <v>110</v>
      </c>
      <c r="S257" s="8"/>
      <c r="T257" s="8"/>
      <c r="U257" s="8"/>
      <c r="V257" s="8"/>
      <c r="W257" s="8"/>
      <c r="X257" s="8"/>
      <c r="Y257" s="8"/>
      <c r="AA257" s="14" t="s">
        <v>1511</v>
      </c>
      <c r="AD257">
        <f t="shared" si="3"/>
        <v>1</v>
      </c>
    </row>
    <row r="258" spans="1:30" ht="13" customHeight="1" x14ac:dyDescent="0.35">
      <c r="A258" s="7" t="s">
        <v>69</v>
      </c>
      <c r="B258" s="8" t="s">
        <v>879</v>
      </c>
      <c r="C258" s="8" t="s">
        <v>880</v>
      </c>
      <c r="E258" s="29" t="s">
        <v>1512</v>
      </c>
      <c r="F258" s="9" t="s">
        <v>103</v>
      </c>
      <c r="H258" s="10" t="s">
        <v>1176</v>
      </c>
      <c r="I258" s="8"/>
      <c r="L258" s="11" t="s">
        <v>1513</v>
      </c>
      <c r="M258" s="11" t="s">
        <v>1514</v>
      </c>
      <c r="N258" s="11" t="s">
        <v>1515</v>
      </c>
      <c r="S258" s="8"/>
      <c r="T258" s="8"/>
      <c r="X258" s="8"/>
      <c r="Z258" s="8" t="s">
        <v>228</v>
      </c>
      <c r="AA258" s="14" t="s">
        <v>1516</v>
      </c>
      <c r="AB258" s="15" t="s">
        <v>1517</v>
      </c>
      <c r="AD258">
        <f t="shared" ref="AD258:AD321" si="4">IF(M258="","",COUNTA(_xlfn.TEXTSPLIT(M258,CHAR(10))))</f>
        <v>1</v>
      </c>
    </row>
    <row r="259" spans="1:30" ht="13" customHeight="1" x14ac:dyDescent="0.35">
      <c r="A259" s="7" t="s">
        <v>69</v>
      </c>
      <c r="B259" s="8" t="s">
        <v>33</v>
      </c>
      <c r="C259" s="8" t="s">
        <v>799</v>
      </c>
      <c r="E259" s="29" t="s">
        <v>1512</v>
      </c>
      <c r="F259" s="9" t="s">
        <v>103</v>
      </c>
      <c r="H259" s="10" t="s">
        <v>1176</v>
      </c>
      <c r="I259" s="8"/>
      <c r="L259" s="11" t="s">
        <v>1513</v>
      </c>
      <c r="M259" s="11" t="s">
        <v>1514</v>
      </c>
      <c r="N259" s="11" t="s">
        <v>1515</v>
      </c>
      <c r="S259" s="8"/>
      <c r="T259" s="8"/>
      <c r="X259" s="8"/>
      <c r="Z259" s="8" t="s">
        <v>228</v>
      </c>
      <c r="AA259" s="14" t="s">
        <v>1518</v>
      </c>
      <c r="AB259" s="15" t="s">
        <v>1517</v>
      </c>
      <c r="AD259">
        <f t="shared" si="4"/>
        <v>1</v>
      </c>
    </row>
    <row r="260" spans="1:30" ht="13" customHeight="1" x14ac:dyDescent="0.35">
      <c r="A260" s="7" t="s">
        <v>69</v>
      </c>
      <c r="B260" s="8" t="s">
        <v>879</v>
      </c>
      <c r="C260" s="8" t="s">
        <v>880</v>
      </c>
      <c r="E260" s="29" t="s">
        <v>1519</v>
      </c>
      <c r="F260" s="9" t="s">
        <v>136</v>
      </c>
      <c r="H260" s="10" t="s">
        <v>882</v>
      </c>
      <c r="I260" s="8"/>
      <c r="L260" s="11" t="s">
        <v>1520</v>
      </c>
      <c r="M260" s="11" t="s">
        <v>552</v>
      </c>
      <c r="N260" s="11" t="s">
        <v>1521</v>
      </c>
      <c r="S260" s="8"/>
      <c r="T260" s="8"/>
      <c r="X260" s="8"/>
      <c r="Z260" s="8" t="s">
        <v>911</v>
      </c>
      <c r="AA260" s="14" t="s">
        <v>1522</v>
      </c>
      <c r="AB260" s="15" t="s">
        <v>913</v>
      </c>
      <c r="AD260">
        <f t="shared" si="4"/>
        <v>1</v>
      </c>
    </row>
    <row r="261" spans="1:30" ht="13" customHeight="1" x14ac:dyDescent="0.35">
      <c r="A261" s="7" t="s">
        <v>69</v>
      </c>
      <c r="B261" s="8" t="s">
        <v>33</v>
      </c>
      <c r="C261" s="8" t="s">
        <v>799</v>
      </c>
      <c r="E261" s="29" t="s">
        <v>1519</v>
      </c>
      <c r="F261" s="9" t="s">
        <v>136</v>
      </c>
      <c r="H261" s="10" t="s">
        <v>882</v>
      </c>
      <c r="I261" s="8"/>
      <c r="L261" s="11" t="s">
        <v>1520</v>
      </c>
      <c r="M261" s="11" t="s">
        <v>552</v>
      </c>
      <c r="N261" s="11" t="s">
        <v>1521</v>
      </c>
      <c r="S261" s="8"/>
      <c r="T261" s="8"/>
      <c r="X261" s="8"/>
      <c r="Z261" s="8" t="s">
        <v>911</v>
      </c>
      <c r="AA261" s="14" t="s">
        <v>1523</v>
      </c>
      <c r="AB261" s="15" t="s">
        <v>913</v>
      </c>
      <c r="AD261">
        <f t="shared" si="4"/>
        <v>1</v>
      </c>
    </row>
    <row r="262" spans="1:30" ht="13" customHeight="1" x14ac:dyDescent="0.35">
      <c r="A262" s="7" t="s">
        <v>69</v>
      </c>
      <c r="B262" s="8" t="s">
        <v>879</v>
      </c>
      <c r="C262" s="8" t="s">
        <v>880</v>
      </c>
      <c r="E262" s="29" t="s">
        <v>1524</v>
      </c>
      <c r="F262" s="9" t="s">
        <v>103</v>
      </c>
      <c r="I262" s="8"/>
      <c r="L262" s="11" t="s">
        <v>1525</v>
      </c>
      <c r="M262" s="11" t="s">
        <v>1526</v>
      </c>
      <c r="N262" s="11" t="s">
        <v>1527</v>
      </c>
      <c r="O262" s="31" t="s">
        <v>1528</v>
      </c>
      <c r="S262" s="8"/>
      <c r="T262" s="8"/>
      <c r="X262" s="8"/>
      <c r="Z262" s="8" t="s">
        <v>228</v>
      </c>
      <c r="AA262" s="14" t="s">
        <v>1529</v>
      </c>
      <c r="AB262" s="15" t="s">
        <v>1530</v>
      </c>
      <c r="AD262">
        <f t="shared" si="4"/>
        <v>1</v>
      </c>
    </row>
    <row r="263" spans="1:30" ht="13" customHeight="1" x14ac:dyDescent="0.35">
      <c r="A263" s="7" t="s">
        <v>32</v>
      </c>
      <c r="B263" s="8" t="s">
        <v>438</v>
      </c>
      <c r="C263" s="8"/>
      <c r="E263" s="8" t="s">
        <v>1531</v>
      </c>
      <c r="F263" s="9" t="s">
        <v>103</v>
      </c>
      <c r="G263" s="8" t="s">
        <v>36</v>
      </c>
      <c r="H263" s="10" t="s">
        <v>440</v>
      </c>
      <c r="I263" s="8" t="s">
        <v>1532</v>
      </c>
      <c r="K263" s="8" t="s">
        <v>40</v>
      </c>
      <c r="L263" s="56" t="s">
        <v>1533</v>
      </c>
      <c r="M263" s="72" t="s">
        <v>1534</v>
      </c>
      <c r="N263" s="72" t="s">
        <v>1535</v>
      </c>
      <c r="O263" s="11" t="s">
        <v>1072</v>
      </c>
      <c r="Q263" s="8"/>
      <c r="R263" s="8"/>
      <c r="S263" s="8"/>
      <c r="T263" s="8"/>
      <c r="U263" s="8"/>
      <c r="V263" s="8"/>
      <c r="W263" s="8"/>
      <c r="X263" s="8"/>
      <c r="Y263" s="13">
        <v>45610</v>
      </c>
      <c r="AA263" s="14" t="s">
        <v>1536</v>
      </c>
      <c r="AB263" s="15" t="s">
        <v>1537</v>
      </c>
      <c r="AD263">
        <f t="shared" si="4"/>
        <v>1</v>
      </c>
    </row>
    <row r="264" spans="1:30" ht="13" customHeight="1" x14ac:dyDescent="0.35">
      <c r="A264" s="88" t="s">
        <v>32</v>
      </c>
      <c r="B264" s="89" t="s">
        <v>33</v>
      </c>
      <c r="C264" s="89"/>
      <c r="D264" s="89"/>
      <c r="E264" s="89" t="s">
        <v>1538</v>
      </c>
      <c r="F264" s="89" t="s">
        <v>103</v>
      </c>
      <c r="G264" s="89" t="s">
        <v>1539</v>
      </c>
      <c r="H264" s="90" t="s">
        <v>591</v>
      </c>
      <c r="I264" s="89" t="s">
        <v>1540</v>
      </c>
      <c r="J264" s="89"/>
      <c r="K264" s="89"/>
      <c r="L264" s="90"/>
      <c r="M264" s="90"/>
      <c r="N264" s="90"/>
      <c r="O264" s="92" t="s">
        <v>1541</v>
      </c>
      <c r="P264" s="89"/>
      <c r="Q264" s="89"/>
      <c r="R264" s="89"/>
      <c r="S264" s="89"/>
      <c r="T264" s="89"/>
      <c r="U264" s="89"/>
      <c r="V264" s="89"/>
      <c r="W264" s="89"/>
      <c r="X264" s="89"/>
      <c r="Y264" s="93">
        <v>45596</v>
      </c>
      <c r="Z264" s="89" t="s">
        <v>228</v>
      </c>
      <c r="AA264" s="14" t="s">
        <v>1542</v>
      </c>
      <c r="AD264" t="str">
        <f t="shared" si="4"/>
        <v/>
      </c>
    </row>
    <row r="265" spans="1:30" ht="13" customHeight="1" x14ac:dyDescent="0.35">
      <c r="A265" s="7" t="s">
        <v>69</v>
      </c>
      <c r="B265" s="8" t="s">
        <v>879</v>
      </c>
      <c r="C265" s="8" t="s">
        <v>880</v>
      </c>
      <c r="E265" s="29" t="s">
        <v>1543</v>
      </c>
      <c r="F265" s="9" t="s">
        <v>145</v>
      </c>
      <c r="H265" s="10" t="s">
        <v>1176</v>
      </c>
      <c r="I265" s="8"/>
      <c r="L265" s="11"/>
      <c r="M265" s="11"/>
      <c r="N265" s="11"/>
      <c r="S265" s="8"/>
      <c r="T265" s="8"/>
      <c r="X265" s="8"/>
      <c r="AA265" s="14" t="s">
        <v>1544</v>
      </c>
      <c r="AB265" s="15" t="s">
        <v>1545</v>
      </c>
      <c r="AD265" t="str">
        <f t="shared" si="4"/>
        <v/>
      </c>
    </row>
    <row r="266" spans="1:30" ht="13" customHeight="1" x14ac:dyDescent="0.35">
      <c r="A266" s="88" t="s">
        <v>32</v>
      </c>
      <c r="B266" s="89" t="s">
        <v>33</v>
      </c>
      <c r="C266" s="89"/>
      <c r="D266" s="89"/>
      <c r="E266" s="89" t="s">
        <v>1546</v>
      </c>
      <c r="F266" s="89" t="s">
        <v>103</v>
      </c>
      <c r="G266" s="89" t="s">
        <v>36</v>
      </c>
      <c r="H266" s="90" t="s">
        <v>591</v>
      </c>
      <c r="I266" s="89" t="s">
        <v>54</v>
      </c>
      <c r="J266" s="89"/>
      <c r="K266" s="89"/>
      <c r="L266" s="90"/>
      <c r="M266" s="90"/>
      <c r="N266" s="90"/>
      <c r="O266" s="92"/>
      <c r="P266" s="89"/>
      <c r="Q266" s="89"/>
      <c r="R266" s="89"/>
      <c r="S266" s="89"/>
      <c r="T266" s="89"/>
      <c r="U266" s="89"/>
      <c r="V266" s="89"/>
      <c r="W266" s="89"/>
      <c r="X266" s="89"/>
      <c r="Y266" s="93">
        <v>45595</v>
      </c>
      <c r="Z266" s="89" t="s">
        <v>228</v>
      </c>
      <c r="AA266" s="14" t="s">
        <v>1547</v>
      </c>
      <c r="AD266" t="str">
        <f t="shared" si="4"/>
        <v/>
      </c>
    </row>
    <row r="267" spans="1:30" ht="13" customHeight="1" x14ac:dyDescent="0.35">
      <c r="A267" s="88" t="s">
        <v>32</v>
      </c>
      <c r="B267" s="89" t="s">
        <v>33</v>
      </c>
      <c r="C267" s="89"/>
      <c r="D267" s="89"/>
      <c r="E267" s="89" t="s">
        <v>1548</v>
      </c>
      <c r="F267" s="89" t="s">
        <v>103</v>
      </c>
      <c r="G267" s="89" t="s">
        <v>36</v>
      </c>
      <c r="H267" s="90" t="s">
        <v>591</v>
      </c>
      <c r="I267" s="89" t="s">
        <v>106</v>
      </c>
      <c r="J267" s="89"/>
      <c r="K267" s="89"/>
      <c r="L267" s="90"/>
      <c r="M267" s="90"/>
      <c r="N267" s="90"/>
      <c r="O267" s="92"/>
      <c r="P267" s="89"/>
      <c r="Q267" s="89"/>
      <c r="R267" s="89"/>
      <c r="S267" s="89"/>
      <c r="T267" s="89"/>
      <c r="U267" s="89"/>
      <c r="V267" s="89"/>
      <c r="W267" s="89"/>
      <c r="X267" s="89"/>
      <c r="Y267" s="93">
        <v>45595</v>
      </c>
      <c r="Z267" s="89" t="s">
        <v>228</v>
      </c>
      <c r="AA267" s="14" t="s">
        <v>1549</v>
      </c>
      <c r="AD267" t="str">
        <f t="shared" si="4"/>
        <v/>
      </c>
    </row>
    <row r="268" spans="1:30" ht="13" customHeight="1" x14ac:dyDescent="0.35">
      <c r="A268" s="7" t="s">
        <v>32</v>
      </c>
      <c r="B268" s="8" t="s">
        <v>48</v>
      </c>
      <c r="C268" s="8"/>
      <c r="D268" s="8" t="s">
        <v>49</v>
      </c>
      <c r="E268" s="38" t="s">
        <v>1550</v>
      </c>
      <c r="F268" s="9" t="s">
        <v>51</v>
      </c>
      <c r="G268" s="8" t="s">
        <v>174</v>
      </c>
      <c r="I268" s="71" t="s">
        <v>1551</v>
      </c>
      <c r="J268" s="16" t="s">
        <v>54</v>
      </c>
      <c r="K268" s="9" t="s">
        <v>132</v>
      </c>
      <c r="L268" s="81" t="s">
        <v>730</v>
      </c>
      <c r="M268" s="18"/>
      <c r="N268" s="18"/>
      <c r="O268" s="19" t="s">
        <v>1552</v>
      </c>
      <c r="P268" s="16" t="s">
        <v>15</v>
      </c>
      <c r="Q268" s="16" t="s">
        <v>1553</v>
      </c>
      <c r="R268" s="16" t="s">
        <v>118</v>
      </c>
      <c r="S268" s="8"/>
      <c r="T268" s="8"/>
      <c r="U268" s="8"/>
      <c r="V268" s="8"/>
      <c r="W268" s="8"/>
      <c r="X268" s="8"/>
      <c r="Y268" s="8"/>
      <c r="AA268" s="14" t="s">
        <v>1554</v>
      </c>
      <c r="AD268" t="str">
        <f t="shared" si="4"/>
        <v/>
      </c>
    </row>
    <row r="269" spans="1:30" ht="13" customHeight="1" x14ac:dyDescent="0.35">
      <c r="A269" s="88" t="s">
        <v>32</v>
      </c>
      <c r="B269" s="89" t="s">
        <v>33</v>
      </c>
      <c r="C269" s="89"/>
      <c r="D269" s="89"/>
      <c r="E269" s="89" t="s">
        <v>1555</v>
      </c>
      <c r="F269" s="89" t="s">
        <v>103</v>
      </c>
      <c r="G269" s="89" t="s">
        <v>36</v>
      </c>
      <c r="H269" s="90" t="s">
        <v>591</v>
      </c>
      <c r="I269" s="89" t="s">
        <v>1556</v>
      </c>
      <c r="J269" s="89"/>
      <c r="K269" s="89"/>
      <c r="L269" s="90" t="s">
        <v>1557</v>
      </c>
      <c r="M269" s="90"/>
      <c r="N269" s="90"/>
      <c r="O269" s="92" t="s">
        <v>1558</v>
      </c>
      <c r="P269" s="89"/>
      <c r="Q269" s="89"/>
      <c r="R269" s="89"/>
      <c r="S269" s="89"/>
      <c r="T269" s="89"/>
      <c r="U269" s="89"/>
      <c r="V269" s="89"/>
      <c r="W269" s="89"/>
      <c r="X269" s="89"/>
      <c r="Y269" s="93">
        <v>45581</v>
      </c>
      <c r="Z269" s="89" t="s">
        <v>228</v>
      </c>
      <c r="AA269" s="14" t="s">
        <v>1559</v>
      </c>
      <c r="AD269" t="str">
        <f t="shared" si="4"/>
        <v/>
      </c>
    </row>
    <row r="270" spans="1:30" ht="13" customHeight="1" x14ac:dyDescent="0.35">
      <c r="A270" s="88" t="s">
        <v>32</v>
      </c>
      <c r="B270" s="89" t="s">
        <v>33</v>
      </c>
      <c r="C270" s="89"/>
      <c r="D270" s="89"/>
      <c r="E270" s="89" t="s">
        <v>1560</v>
      </c>
      <c r="F270" s="89" t="s">
        <v>103</v>
      </c>
      <c r="G270" s="89" t="s">
        <v>36</v>
      </c>
      <c r="H270" s="90" t="s">
        <v>795</v>
      </c>
      <c r="I270" s="89" t="s">
        <v>1561</v>
      </c>
      <c r="J270" s="89"/>
      <c r="K270" s="89"/>
      <c r="L270" s="103" t="s">
        <v>1562</v>
      </c>
      <c r="M270" s="92" t="s">
        <v>1563</v>
      </c>
      <c r="N270" s="92" t="s">
        <v>1564</v>
      </c>
      <c r="O270" s="92" t="s">
        <v>1565</v>
      </c>
      <c r="P270" s="89"/>
      <c r="Q270" s="89"/>
      <c r="R270" s="89"/>
      <c r="S270" s="89"/>
      <c r="T270" s="89"/>
      <c r="U270" s="89"/>
      <c r="V270" s="89"/>
      <c r="W270" s="89"/>
      <c r="X270" s="89"/>
      <c r="Y270" s="93">
        <v>45603</v>
      </c>
      <c r="Z270" s="89" t="s">
        <v>228</v>
      </c>
      <c r="AA270" s="14" t="s">
        <v>1566</v>
      </c>
      <c r="AD270">
        <f t="shared" si="4"/>
        <v>1</v>
      </c>
    </row>
    <row r="271" spans="1:30" ht="13" customHeight="1" x14ac:dyDescent="0.35">
      <c r="A271" s="88" t="s">
        <v>32</v>
      </c>
      <c r="B271" s="89" t="s">
        <v>33</v>
      </c>
      <c r="C271" s="89"/>
      <c r="D271" s="89"/>
      <c r="E271" s="89" t="s">
        <v>1567</v>
      </c>
      <c r="F271" s="89" t="s">
        <v>103</v>
      </c>
      <c r="G271" s="89" t="s">
        <v>36</v>
      </c>
      <c r="H271" s="90" t="s">
        <v>591</v>
      </c>
      <c r="I271" s="89" t="s">
        <v>1568</v>
      </c>
      <c r="J271" s="89"/>
      <c r="K271" s="89"/>
      <c r="L271" s="103" t="s">
        <v>1569</v>
      </c>
      <c r="M271" s="92" t="s">
        <v>1570</v>
      </c>
      <c r="N271" s="92" t="s">
        <v>1571</v>
      </c>
      <c r="O271" s="92" t="s">
        <v>1572</v>
      </c>
      <c r="P271" s="89"/>
      <c r="Q271" s="89"/>
      <c r="R271" s="89"/>
      <c r="S271" s="89"/>
      <c r="T271" s="89"/>
      <c r="U271" s="89"/>
      <c r="V271" s="89"/>
      <c r="W271" s="89"/>
      <c r="X271" s="89"/>
      <c r="Y271" s="93">
        <v>45520</v>
      </c>
      <c r="Z271" s="89"/>
      <c r="AA271" s="14" t="s">
        <v>1573</v>
      </c>
      <c r="AD271">
        <f t="shared" si="4"/>
        <v>1</v>
      </c>
    </row>
    <row r="272" spans="1:30" ht="13" customHeight="1" x14ac:dyDescent="0.35">
      <c r="A272" s="88" t="s">
        <v>32</v>
      </c>
      <c r="B272" s="89" t="s">
        <v>33</v>
      </c>
      <c r="C272" s="89"/>
      <c r="D272" s="89"/>
      <c r="E272" s="89" t="s">
        <v>1567</v>
      </c>
      <c r="F272" s="89" t="s">
        <v>103</v>
      </c>
      <c r="G272" s="89" t="s">
        <v>36</v>
      </c>
      <c r="H272" s="90" t="s">
        <v>591</v>
      </c>
      <c r="I272" s="89" t="s">
        <v>1574</v>
      </c>
      <c r="J272" s="89"/>
      <c r="K272" s="89"/>
      <c r="L272" s="103" t="s">
        <v>1569</v>
      </c>
      <c r="M272" s="92" t="s">
        <v>1570</v>
      </c>
      <c r="N272" s="92" t="s">
        <v>1571</v>
      </c>
      <c r="O272" s="104" t="s">
        <v>1575</v>
      </c>
      <c r="P272" s="89"/>
      <c r="Q272" s="89"/>
      <c r="R272" s="89"/>
      <c r="S272" s="89"/>
      <c r="T272" s="89"/>
      <c r="U272" s="89"/>
      <c r="V272" s="89"/>
      <c r="W272" s="89"/>
      <c r="X272" s="89"/>
      <c r="Y272" s="93">
        <v>45520</v>
      </c>
      <c r="Z272" s="89"/>
      <c r="AA272" s="14" t="s">
        <v>1576</v>
      </c>
      <c r="AD272">
        <f t="shared" si="4"/>
        <v>1</v>
      </c>
    </row>
    <row r="273" spans="1:30" ht="13" customHeight="1" x14ac:dyDescent="0.35">
      <c r="A273" s="7" t="s">
        <v>32</v>
      </c>
      <c r="B273" s="8" t="s">
        <v>48</v>
      </c>
      <c r="C273" s="8"/>
      <c r="D273" s="8" t="s">
        <v>49</v>
      </c>
      <c r="E273" s="16" t="s">
        <v>1577</v>
      </c>
      <c r="F273" s="9" t="s">
        <v>51</v>
      </c>
      <c r="G273" s="8" t="s">
        <v>52</v>
      </c>
      <c r="I273" s="16" t="s">
        <v>1578</v>
      </c>
      <c r="J273" s="16" t="s">
        <v>54</v>
      </c>
      <c r="K273" s="8" t="s">
        <v>55</v>
      </c>
      <c r="L273" s="81" t="s">
        <v>1579</v>
      </c>
      <c r="M273" s="18"/>
      <c r="N273" s="18"/>
      <c r="O273" s="19" t="s">
        <v>1580</v>
      </c>
      <c r="P273" s="16" t="s">
        <v>66</v>
      </c>
      <c r="Q273" s="71" t="s">
        <v>1581</v>
      </c>
      <c r="R273" s="16" t="s">
        <v>118</v>
      </c>
      <c r="S273" s="8"/>
      <c r="T273" s="8"/>
      <c r="U273" s="8"/>
      <c r="V273" s="8"/>
      <c r="W273" s="8"/>
      <c r="X273" s="8"/>
      <c r="Y273" s="8"/>
      <c r="AA273" s="14" t="s">
        <v>1582</v>
      </c>
      <c r="AD273" t="str">
        <f t="shared" si="4"/>
        <v/>
      </c>
    </row>
    <row r="274" spans="1:30" ht="13" customHeight="1" x14ac:dyDescent="0.35">
      <c r="A274" s="88" t="s">
        <v>32</v>
      </c>
      <c r="B274" s="89" t="s">
        <v>33</v>
      </c>
      <c r="C274" s="89"/>
      <c r="D274" s="89"/>
      <c r="E274" s="89" t="s">
        <v>1583</v>
      </c>
      <c r="F274" s="89" t="s">
        <v>103</v>
      </c>
      <c r="G274" s="89" t="s">
        <v>36</v>
      </c>
      <c r="H274" s="90" t="s">
        <v>591</v>
      </c>
      <c r="I274" s="89" t="s">
        <v>1584</v>
      </c>
      <c r="J274" s="89"/>
      <c r="K274" s="89"/>
      <c r="L274" s="103" t="s">
        <v>1585</v>
      </c>
      <c r="M274" s="92" t="s">
        <v>1570</v>
      </c>
      <c r="N274" s="92" t="s">
        <v>1571</v>
      </c>
      <c r="O274" s="92" t="s">
        <v>1572</v>
      </c>
      <c r="P274" s="89"/>
      <c r="Q274" s="89"/>
      <c r="R274" s="89"/>
      <c r="S274" s="89"/>
      <c r="T274" s="89"/>
      <c r="U274" s="89"/>
      <c r="V274" s="89"/>
      <c r="W274" s="89"/>
      <c r="X274" s="89"/>
      <c r="Y274" s="93">
        <v>45520</v>
      </c>
      <c r="Z274" s="89"/>
      <c r="AA274" s="14" t="s">
        <v>1586</v>
      </c>
      <c r="AD274">
        <f t="shared" si="4"/>
        <v>1</v>
      </c>
    </row>
    <row r="275" spans="1:30" ht="13" customHeight="1" x14ac:dyDescent="0.35">
      <c r="A275" s="7" t="s">
        <v>32</v>
      </c>
      <c r="B275" s="8" t="s">
        <v>33</v>
      </c>
      <c r="C275" s="8"/>
      <c r="E275" s="8" t="s">
        <v>1587</v>
      </c>
      <c r="F275" s="8" t="s">
        <v>103</v>
      </c>
      <c r="G275" s="8" t="s">
        <v>36</v>
      </c>
      <c r="H275" s="10" t="s">
        <v>440</v>
      </c>
      <c r="I275" s="8" t="s">
        <v>1588</v>
      </c>
      <c r="K275" s="8" t="s">
        <v>40</v>
      </c>
      <c r="L275" s="79" t="s">
        <v>1589</v>
      </c>
      <c r="M275" s="57" t="s">
        <v>1590</v>
      </c>
      <c r="N275" s="11" t="s">
        <v>1591</v>
      </c>
      <c r="O275" s="11" t="s">
        <v>1592</v>
      </c>
      <c r="Q275" s="8"/>
      <c r="R275" s="8"/>
      <c r="S275" s="8"/>
      <c r="T275" s="8"/>
      <c r="U275" s="8"/>
      <c r="V275" s="8"/>
      <c r="W275" s="8"/>
      <c r="X275" s="8"/>
      <c r="Y275" s="13">
        <v>45689</v>
      </c>
      <c r="Z275" s="8" t="s">
        <v>228</v>
      </c>
      <c r="AA275" s="14" t="s">
        <v>1593</v>
      </c>
      <c r="AB275" s="15" t="s">
        <v>1594</v>
      </c>
      <c r="AD275">
        <f t="shared" si="4"/>
        <v>2</v>
      </c>
    </row>
    <row r="276" spans="1:30" ht="13" customHeight="1" x14ac:dyDescent="0.35">
      <c r="A276" s="7" t="s">
        <v>32</v>
      </c>
      <c r="B276" s="8" t="s">
        <v>33</v>
      </c>
      <c r="C276" s="8"/>
      <c r="E276" s="8" t="s">
        <v>1217</v>
      </c>
      <c r="F276" s="8" t="s">
        <v>103</v>
      </c>
      <c r="G276" s="8" t="s">
        <v>36</v>
      </c>
      <c r="H276" s="10" t="s">
        <v>591</v>
      </c>
      <c r="I276" s="8" t="s">
        <v>1595</v>
      </c>
      <c r="L276" s="79" t="s">
        <v>816</v>
      </c>
      <c r="M276" s="57" t="s">
        <v>1596</v>
      </c>
      <c r="N276" s="11" t="s">
        <v>818</v>
      </c>
      <c r="O276" s="11" t="s">
        <v>1220</v>
      </c>
      <c r="Q276" s="8"/>
      <c r="R276" s="8"/>
      <c r="S276" s="8"/>
      <c r="T276" s="8"/>
      <c r="U276" s="8"/>
      <c r="V276" s="8"/>
      <c r="W276" s="8"/>
      <c r="X276" s="8"/>
      <c r="Y276" s="13">
        <v>45609</v>
      </c>
      <c r="Z276" s="8" t="s">
        <v>668</v>
      </c>
      <c r="AA276" s="14" t="s">
        <v>1597</v>
      </c>
      <c r="AB276" s="15" t="s">
        <v>1598</v>
      </c>
      <c r="AD276">
        <f t="shared" si="4"/>
        <v>5</v>
      </c>
    </row>
    <row r="277" spans="1:30" ht="13" customHeight="1" x14ac:dyDescent="0.35">
      <c r="A277" s="7" t="s">
        <v>32</v>
      </c>
      <c r="B277" s="8" t="s">
        <v>33</v>
      </c>
      <c r="C277" s="8"/>
      <c r="E277" s="8" t="s">
        <v>1599</v>
      </c>
      <c r="F277" s="9" t="s">
        <v>103</v>
      </c>
      <c r="G277" s="8" t="s">
        <v>36</v>
      </c>
      <c r="H277" s="10" t="s">
        <v>795</v>
      </c>
      <c r="I277" s="8" t="s">
        <v>1600</v>
      </c>
      <c r="K277" s="8" t="s">
        <v>160</v>
      </c>
      <c r="L277" s="10"/>
      <c r="M277" s="10" t="s">
        <v>1601</v>
      </c>
      <c r="N277" s="11" t="s">
        <v>1602</v>
      </c>
      <c r="O277" s="11" t="s">
        <v>1603</v>
      </c>
      <c r="Q277" s="8"/>
      <c r="R277" s="8"/>
      <c r="S277" s="8"/>
      <c r="T277" s="8"/>
      <c r="U277" s="8"/>
      <c r="V277" s="8"/>
      <c r="W277" s="8"/>
      <c r="X277" s="8"/>
      <c r="Y277" s="13">
        <v>45658</v>
      </c>
      <c r="AA277" s="14" t="s">
        <v>1604</v>
      </c>
      <c r="AB277" s="15" t="s">
        <v>1605</v>
      </c>
      <c r="AD277">
        <f t="shared" si="4"/>
        <v>1</v>
      </c>
    </row>
    <row r="278" spans="1:30" ht="13" customHeight="1" x14ac:dyDescent="0.35">
      <c r="A278" s="7" t="s">
        <v>32</v>
      </c>
      <c r="B278" s="8" t="s">
        <v>33</v>
      </c>
      <c r="C278" s="8"/>
      <c r="E278" s="8" t="s">
        <v>1606</v>
      </c>
      <c r="F278" s="9" t="s">
        <v>103</v>
      </c>
      <c r="G278" s="8" t="s">
        <v>36</v>
      </c>
      <c r="H278" s="10" t="s">
        <v>37</v>
      </c>
      <c r="I278" s="8" t="s">
        <v>1607</v>
      </c>
      <c r="J278" s="8" t="s">
        <v>815</v>
      </c>
      <c r="K278" s="8" t="s">
        <v>40</v>
      </c>
      <c r="L278" s="10"/>
      <c r="M278" s="10"/>
      <c r="N278" s="10"/>
      <c r="O278" s="11"/>
      <c r="Q278" s="8"/>
      <c r="R278" s="8"/>
      <c r="S278" s="8"/>
      <c r="T278" s="8"/>
      <c r="U278" s="8"/>
      <c r="V278" s="8"/>
      <c r="W278" s="8"/>
      <c r="X278" s="8"/>
      <c r="Y278" s="13">
        <v>45581</v>
      </c>
      <c r="Z278" s="8" t="s">
        <v>228</v>
      </c>
      <c r="AA278" s="14" t="s">
        <v>1608</v>
      </c>
      <c r="AB278" s="15" t="s">
        <v>1609</v>
      </c>
      <c r="AD278" t="str">
        <f t="shared" si="4"/>
        <v/>
      </c>
    </row>
    <row r="279" spans="1:30" ht="13" customHeight="1" x14ac:dyDescent="0.35">
      <c r="A279" s="7" t="s">
        <v>32</v>
      </c>
      <c r="B279" s="8" t="s">
        <v>33</v>
      </c>
      <c r="C279" s="8"/>
      <c r="E279" s="8" t="s">
        <v>1610</v>
      </c>
      <c r="F279" s="9" t="s">
        <v>103</v>
      </c>
      <c r="G279" s="8" t="s">
        <v>36</v>
      </c>
      <c r="H279" s="10" t="s">
        <v>440</v>
      </c>
      <c r="I279" s="8" t="s">
        <v>1611</v>
      </c>
      <c r="L279" s="56" t="s">
        <v>1533</v>
      </c>
      <c r="M279" s="72" t="s">
        <v>1534</v>
      </c>
      <c r="N279" s="72" t="s">
        <v>1535</v>
      </c>
      <c r="O279" s="11" t="s">
        <v>1072</v>
      </c>
      <c r="Q279" s="8"/>
      <c r="R279" s="8"/>
      <c r="S279" s="8"/>
      <c r="T279" s="8"/>
      <c r="U279" s="8"/>
      <c r="V279" s="8"/>
      <c r="W279" s="8"/>
      <c r="X279" s="8"/>
      <c r="Y279" s="13">
        <v>45610</v>
      </c>
      <c r="AA279" s="14" t="s">
        <v>1612</v>
      </c>
      <c r="AB279" s="12" t="s">
        <v>1613</v>
      </c>
      <c r="AD279">
        <f t="shared" si="4"/>
        <v>1</v>
      </c>
    </row>
    <row r="280" spans="1:30" ht="13" customHeight="1" x14ac:dyDescent="0.35">
      <c r="A280" s="88" t="s">
        <v>32</v>
      </c>
      <c r="B280" s="89" t="s">
        <v>33</v>
      </c>
      <c r="C280" s="89"/>
      <c r="D280" s="89"/>
      <c r="E280" s="89" t="s">
        <v>1614</v>
      </c>
      <c r="F280" s="89" t="s">
        <v>103</v>
      </c>
      <c r="G280" s="89" t="s">
        <v>36</v>
      </c>
      <c r="H280" s="90" t="s">
        <v>223</v>
      </c>
      <c r="I280" s="89" t="s">
        <v>1615</v>
      </c>
      <c r="J280" s="89"/>
      <c r="K280" s="89" t="s">
        <v>160</v>
      </c>
      <c r="L280" s="91" t="s">
        <v>1616</v>
      </c>
      <c r="M280" s="90" t="s">
        <v>1617</v>
      </c>
      <c r="N280" s="92" t="s">
        <v>1618</v>
      </c>
      <c r="O280" s="105" t="s">
        <v>1619</v>
      </c>
      <c r="P280" s="89"/>
      <c r="Q280" s="89"/>
      <c r="R280" s="89"/>
      <c r="S280" s="89"/>
      <c r="T280" s="89"/>
      <c r="U280" s="89"/>
      <c r="V280" s="89"/>
      <c r="W280" s="89"/>
      <c r="X280" s="89"/>
      <c r="Y280" s="93">
        <v>45596</v>
      </c>
      <c r="Z280" s="89"/>
      <c r="AA280" s="14" t="s">
        <v>1620</v>
      </c>
      <c r="AB280" s="15" t="s">
        <v>1621</v>
      </c>
      <c r="AD280">
        <f t="shared" si="4"/>
        <v>1</v>
      </c>
    </row>
    <row r="281" spans="1:30" ht="13" customHeight="1" x14ac:dyDescent="0.35">
      <c r="A281" s="88" t="s">
        <v>32</v>
      </c>
      <c r="B281" s="89" t="s">
        <v>33</v>
      </c>
      <c r="C281" s="89"/>
      <c r="D281" s="89"/>
      <c r="E281" s="89" t="s">
        <v>1622</v>
      </c>
      <c r="F281" s="89" t="s">
        <v>103</v>
      </c>
      <c r="G281" s="89" t="s">
        <v>36</v>
      </c>
      <c r="H281" s="90" t="s">
        <v>591</v>
      </c>
      <c r="I281" s="89" t="s">
        <v>1623</v>
      </c>
      <c r="J281" s="89"/>
      <c r="K281" s="89"/>
      <c r="L281" s="92" t="s">
        <v>1624</v>
      </c>
      <c r="M281" s="92"/>
      <c r="N281" s="92"/>
      <c r="O281" s="92" t="s">
        <v>1625</v>
      </c>
      <c r="P281" s="89"/>
      <c r="Q281" s="89"/>
      <c r="R281" s="89"/>
      <c r="S281" s="89"/>
      <c r="T281" s="89"/>
      <c r="U281" s="89"/>
      <c r="V281" s="89"/>
      <c r="W281" s="89"/>
      <c r="X281" s="89"/>
      <c r="Y281" s="93">
        <v>45558</v>
      </c>
      <c r="Z281" s="89" t="s">
        <v>228</v>
      </c>
      <c r="AA281" s="14" t="s">
        <v>1626</v>
      </c>
      <c r="AD281" t="str">
        <f t="shared" si="4"/>
        <v/>
      </c>
    </row>
    <row r="282" spans="1:30" ht="13" customHeight="1" x14ac:dyDescent="0.35">
      <c r="A282" s="7" t="s">
        <v>32</v>
      </c>
      <c r="B282" s="8" t="s">
        <v>33</v>
      </c>
      <c r="C282" s="8"/>
      <c r="E282" s="29" t="s">
        <v>1627</v>
      </c>
      <c r="F282" s="9" t="s">
        <v>103</v>
      </c>
      <c r="G282" s="8" t="s">
        <v>36</v>
      </c>
      <c r="H282" s="10" t="s">
        <v>591</v>
      </c>
      <c r="I282" s="8" t="s">
        <v>1628</v>
      </c>
      <c r="L282" s="11" t="s">
        <v>1629</v>
      </c>
      <c r="M282" s="11" t="s">
        <v>1630</v>
      </c>
      <c r="N282" s="11" t="s">
        <v>1631</v>
      </c>
      <c r="O282" s="31" t="s">
        <v>1632</v>
      </c>
      <c r="S282" s="8"/>
      <c r="T282" s="8"/>
      <c r="X282" s="8"/>
      <c r="Y282" s="13">
        <v>45550</v>
      </c>
      <c r="Z282" s="8" t="s">
        <v>228</v>
      </c>
      <c r="AA282" s="14" t="s">
        <v>1633</v>
      </c>
      <c r="AB282" s="15" t="s">
        <v>1634</v>
      </c>
      <c r="AD282">
        <f t="shared" si="4"/>
        <v>3</v>
      </c>
    </row>
    <row r="283" spans="1:30" ht="13" customHeight="1" x14ac:dyDescent="0.35">
      <c r="A283" s="7" t="s">
        <v>32</v>
      </c>
      <c r="B283" s="8" t="s">
        <v>33</v>
      </c>
      <c r="C283" s="8"/>
      <c r="E283" s="29" t="s">
        <v>1627</v>
      </c>
      <c r="F283" s="9" t="s">
        <v>103</v>
      </c>
      <c r="G283" s="8" t="s">
        <v>36</v>
      </c>
      <c r="H283" s="10" t="s">
        <v>591</v>
      </c>
      <c r="I283" s="8" t="s">
        <v>1635</v>
      </c>
      <c r="L283" s="11" t="s">
        <v>1636</v>
      </c>
      <c r="M283" s="11" t="s">
        <v>1637</v>
      </c>
      <c r="N283" s="11" t="s">
        <v>1631</v>
      </c>
      <c r="O283" s="31" t="s">
        <v>1632</v>
      </c>
      <c r="S283" s="8"/>
      <c r="T283" s="8"/>
      <c r="X283" s="8"/>
      <c r="Y283" s="13">
        <v>45558</v>
      </c>
      <c r="Z283" s="8" t="s">
        <v>228</v>
      </c>
      <c r="AA283" s="14" t="s">
        <v>1638</v>
      </c>
      <c r="AB283" s="15" t="s">
        <v>1634</v>
      </c>
      <c r="AD283">
        <f t="shared" si="4"/>
        <v>1</v>
      </c>
    </row>
    <row r="284" spans="1:30" ht="13" customHeight="1" x14ac:dyDescent="0.35">
      <c r="A284" s="7" t="s">
        <v>32</v>
      </c>
      <c r="B284" s="8" t="s">
        <v>438</v>
      </c>
      <c r="C284" s="8"/>
      <c r="E284" s="49" t="s">
        <v>1639</v>
      </c>
      <c r="F284" s="9" t="s">
        <v>103</v>
      </c>
      <c r="G284" s="8" t="s">
        <v>36</v>
      </c>
      <c r="H284" s="10" t="s">
        <v>440</v>
      </c>
      <c r="I284" s="38" t="s">
        <v>1640</v>
      </c>
      <c r="J284" s="38" t="s">
        <v>45</v>
      </c>
      <c r="K284" s="8" t="s">
        <v>40</v>
      </c>
      <c r="L284" s="41" t="s">
        <v>443</v>
      </c>
      <c r="M284" s="41" t="s">
        <v>1641</v>
      </c>
      <c r="N284" s="41" t="s">
        <v>1642</v>
      </c>
      <c r="O284" s="50" t="s">
        <v>1643</v>
      </c>
      <c r="P284" s="38"/>
      <c r="Q284" s="49"/>
      <c r="R284" s="49"/>
      <c r="S284" s="8"/>
      <c r="T284" s="8"/>
      <c r="X284" s="8"/>
      <c r="Y284" s="13">
        <v>45615</v>
      </c>
      <c r="Z284" s="8" t="s">
        <v>228</v>
      </c>
      <c r="AA284" s="14" t="s">
        <v>1644</v>
      </c>
      <c r="AB284" s="15" t="s">
        <v>1645</v>
      </c>
      <c r="AD284">
        <f t="shared" si="4"/>
        <v>1</v>
      </c>
    </row>
    <row r="285" spans="1:30" ht="13" customHeight="1" x14ac:dyDescent="0.35">
      <c r="A285" s="7" t="s">
        <v>32</v>
      </c>
      <c r="B285" s="8" t="s">
        <v>33</v>
      </c>
      <c r="C285" s="8"/>
      <c r="E285" s="8" t="s">
        <v>1646</v>
      </c>
      <c r="F285" s="8" t="s">
        <v>103</v>
      </c>
      <c r="G285" s="8" t="s">
        <v>36</v>
      </c>
      <c r="H285" s="10" t="s">
        <v>591</v>
      </c>
      <c r="I285" s="8" t="s">
        <v>1647</v>
      </c>
      <c r="L285" s="79" t="s">
        <v>1648</v>
      </c>
      <c r="M285" s="57" t="s">
        <v>1649</v>
      </c>
      <c r="N285" s="11" t="s">
        <v>1650</v>
      </c>
      <c r="O285" s="11" t="s">
        <v>1651</v>
      </c>
      <c r="Q285" s="8"/>
      <c r="R285" s="8"/>
      <c r="S285" s="8"/>
      <c r="T285" s="8"/>
      <c r="U285" s="8"/>
      <c r="V285" s="8"/>
      <c r="W285" s="8"/>
      <c r="X285" s="8"/>
      <c r="Y285" s="13">
        <v>45558</v>
      </c>
      <c r="AA285" s="14" t="s">
        <v>1652</v>
      </c>
      <c r="AD285">
        <f t="shared" si="4"/>
        <v>2</v>
      </c>
    </row>
    <row r="286" spans="1:30" ht="13" customHeight="1" x14ac:dyDescent="0.35">
      <c r="A286" s="7" t="s">
        <v>32</v>
      </c>
      <c r="B286" s="8" t="s">
        <v>33</v>
      </c>
      <c r="C286" s="8"/>
      <c r="E286" s="8" t="s">
        <v>1646</v>
      </c>
      <c r="F286" s="8" t="s">
        <v>103</v>
      </c>
      <c r="G286" s="8" t="s">
        <v>36</v>
      </c>
      <c r="H286" s="10" t="s">
        <v>591</v>
      </c>
      <c r="I286" s="8" t="s">
        <v>1653</v>
      </c>
      <c r="L286" s="79" t="s">
        <v>1648</v>
      </c>
      <c r="M286" s="57" t="s">
        <v>1649</v>
      </c>
      <c r="N286" s="11" t="s">
        <v>1650</v>
      </c>
      <c r="O286" s="11" t="s">
        <v>1654</v>
      </c>
      <c r="Q286" s="8"/>
      <c r="R286" s="8"/>
      <c r="S286" s="8"/>
      <c r="T286" s="8"/>
      <c r="U286" s="8"/>
      <c r="V286" s="8"/>
      <c r="W286" s="8"/>
      <c r="X286" s="8"/>
      <c r="Y286" s="13">
        <v>45558</v>
      </c>
      <c r="AA286" s="14" t="s">
        <v>1655</v>
      </c>
      <c r="AD286">
        <f t="shared" si="4"/>
        <v>2</v>
      </c>
    </row>
    <row r="287" spans="1:30" ht="13" customHeight="1" x14ac:dyDescent="0.35">
      <c r="A287" s="106" t="s">
        <v>32</v>
      </c>
      <c r="B287" s="9" t="s">
        <v>33</v>
      </c>
      <c r="C287" s="9"/>
      <c r="D287" s="9"/>
      <c r="E287" s="9" t="s">
        <v>1656</v>
      </c>
      <c r="F287" s="9" t="s">
        <v>103</v>
      </c>
      <c r="G287" s="9" t="s">
        <v>36</v>
      </c>
      <c r="H287" s="43" t="s">
        <v>591</v>
      </c>
      <c r="I287" s="9" t="s">
        <v>1657</v>
      </c>
      <c r="J287" s="9"/>
      <c r="K287" s="9"/>
      <c r="L287" s="107" t="s">
        <v>1658</v>
      </c>
      <c r="M287" s="44" t="s">
        <v>1659</v>
      </c>
      <c r="N287" s="44" t="s">
        <v>1660</v>
      </c>
      <c r="O287" s="44" t="s">
        <v>1661</v>
      </c>
      <c r="P287" s="9"/>
      <c r="Q287" s="9"/>
      <c r="R287" s="9"/>
      <c r="S287" s="9"/>
      <c r="T287" s="9"/>
      <c r="U287" s="9"/>
      <c r="V287" s="9"/>
      <c r="W287" s="9"/>
      <c r="X287" s="9"/>
      <c r="Y287" s="108">
        <v>45581</v>
      </c>
      <c r="Z287" s="9" t="s">
        <v>228</v>
      </c>
      <c r="AA287" s="14" t="s">
        <v>1662</v>
      </c>
      <c r="AB287" s="46"/>
      <c r="AD287">
        <f t="shared" si="4"/>
        <v>2</v>
      </c>
    </row>
    <row r="288" spans="1:30" ht="13" customHeight="1" x14ac:dyDescent="0.35">
      <c r="A288" s="7" t="s">
        <v>32</v>
      </c>
      <c r="B288" s="8" t="s">
        <v>33</v>
      </c>
      <c r="C288" s="8"/>
      <c r="E288" s="8" t="s">
        <v>1663</v>
      </c>
      <c r="F288" s="8" t="s">
        <v>103</v>
      </c>
      <c r="G288" s="8" t="s">
        <v>36</v>
      </c>
      <c r="H288" s="10" t="s">
        <v>591</v>
      </c>
      <c r="I288" s="8" t="s">
        <v>1664</v>
      </c>
      <c r="L288" s="79" t="s">
        <v>1665</v>
      </c>
      <c r="M288" s="57" t="s">
        <v>1666</v>
      </c>
      <c r="N288" s="11" t="s">
        <v>1667</v>
      </c>
      <c r="O288" s="11" t="s">
        <v>1668</v>
      </c>
      <c r="Q288" s="100" t="s">
        <v>1669</v>
      </c>
      <c r="R288" s="8"/>
      <c r="S288" s="8"/>
      <c r="T288" s="8"/>
      <c r="U288" s="8"/>
      <c r="V288" s="8"/>
      <c r="W288" s="8"/>
      <c r="X288" s="8"/>
      <c r="Y288" s="13">
        <v>45588</v>
      </c>
      <c r="Z288" s="8" t="s">
        <v>228</v>
      </c>
      <c r="AA288" s="14" t="s">
        <v>1670</v>
      </c>
      <c r="AD288">
        <f t="shared" si="4"/>
        <v>2</v>
      </c>
    </row>
    <row r="289" spans="1:30" ht="13" customHeight="1" x14ac:dyDescent="0.35">
      <c r="A289" s="7" t="s">
        <v>32</v>
      </c>
      <c r="B289" s="8" t="s">
        <v>33</v>
      </c>
      <c r="C289" s="8"/>
      <c r="E289" s="8" t="s">
        <v>1671</v>
      </c>
      <c r="F289" s="8" t="s">
        <v>103</v>
      </c>
      <c r="G289" s="8" t="s">
        <v>336</v>
      </c>
      <c r="H289" s="10" t="s">
        <v>223</v>
      </c>
      <c r="I289" s="8" t="s">
        <v>1672</v>
      </c>
      <c r="K289" s="8" t="s">
        <v>160</v>
      </c>
      <c r="L289" s="79" t="s">
        <v>1665</v>
      </c>
      <c r="M289" s="57" t="s">
        <v>1666</v>
      </c>
      <c r="N289" s="11" t="s">
        <v>1667</v>
      </c>
      <c r="O289" s="11" t="s">
        <v>1668</v>
      </c>
      <c r="Q289" s="100" t="s">
        <v>1669</v>
      </c>
      <c r="R289" s="8"/>
      <c r="S289" s="8"/>
      <c r="T289" s="8"/>
      <c r="U289" s="8"/>
      <c r="V289" s="8"/>
      <c r="W289" s="8"/>
      <c r="X289" s="8"/>
      <c r="Y289" s="13">
        <v>45594</v>
      </c>
      <c r="Z289" s="8" t="s">
        <v>228</v>
      </c>
      <c r="AA289" s="14" t="s">
        <v>1673</v>
      </c>
      <c r="AB289" s="15" t="s">
        <v>1674</v>
      </c>
      <c r="AD289">
        <f t="shared" si="4"/>
        <v>2</v>
      </c>
    </row>
    <row r="290" spans="1:30" ht="13" customHeight="1" x14ac:dyDescent="0.35">
      <c r="A290" s="7" t="s">
        <v>32</v>
      </c>
      <c r="B290" s="8" t="s">
        <v>33</v>
      </c>
      <c r="C290" s="8"/>
      <c r="E290" s="8" t="s">
        <v>1675</v>
      </c>
      <c r="F290" s="8" t="s">
        <v>103</v>
      </c>
      <c r="G290" s="8" t="s">
        <v>36</v>
      </c>
      <c r="H290" s="10" t="s">
        <v>795</v>
      </c>
      <c r="I290" s="8" t="s">
        <v>1676</v>
      </c>
      <c r="J290" s="8" t="s">
        <v>815</v>
      </c>
      <c r="L290" s="79" t="s">
        <v>1677</v>
      </c>
      <c r="M290" s="57" t="s">
        <v>1678</v>
      </c>
      <c r="N290" s="11" t="s">
        <v>1679</v>
      </c>
      <c r="O290" s="11" t="s">
        <v>1680</v>
      </c>
      <c r="Q290" s="8"/>
      <c r="R290" s="8"/>
      <c r="S290" s="8"/>
      <c r="T290" s="8"/>
      <c r="U290" s="8"/>
      <c r="V290" s="8"/>
      <c r="W290" s="8"/>
      <c r="X290" s="8"/>
      <c r="Y290" s="13">
        <v>45615</v>
      </c>
      <c r="AA290" s="14" t="s">
        <v>1681</v>
      </c>
      <c r="AB290" s="12" t="s">
        <v>1682</v>
      </c>
      <c r="AD290">
        <f t="shared" si="4"/>
        <v>3</v>
      </c>
    </row>
    <row r="291" spans="1:30" ht="13" customHeight="1" x14ac:dyDescent="0.35">
      <c r="A291" s="7" t="s">
        <v>32</v>
      </c>
      <c r="B291" s="8" t="s">
        <v>48</v>
      </c>
      <c r="C291" s="8"/>
      <c r="D291" s="8" t="s">
        <v>172</v>
      </c>
      <c r="E291" s="8" t="s">
        <v>1683</v>
      </c>
      <c r="F291" s="9" t="s">
        <v>145</v>
      </c>
      <c r="G291" s="8" t="s">
        <v>52</v>
      </c>
      <c r="I291" s="8" t="s">
        <v>1684</v>
      </c>
      <c r="J291" s="8" t="s">
        <v>176</v>
      </c>
      <c r="K291" s="8" t="s">
        <v>55</v>
      </c>
      <c r="L291" s="48" t="s">
        <v>1685</v>
      </c>
      <c r="M291" s="10" t="s">
        <v>1507</v>
      </c>
      <c r="N291" s="10" t="s">
        <v>1686</v>
      </c>
      <c r="O291" s="11" t="s">
        <v>1687</v>
      </c>
      <c r="P291" s="8" t="s">
        <v>66</v>
      </c>
      <c r="Q291" s="8" t="s">
        <v>67</v>
      </c>
      <c r="R291" s="8" t="s">
        <v>118</v>
      </c>
      <c r="S291" s="8"/>
      <c r="T291" s="8"/>
      <c r="U291" s="8"/>
      <c r="V291" s="8"/>
      <c r="W291" s="8"/>
      <c r="X291" s="8"/>
      <c r="Y291" s="8"/>
      <c r="AA291" s="14" t="s">
        <v>1688</v>
      </c>
      <c r="AB291" s="12" t="s">
        <v>1689</v>
      </c>
      <c r="AD291">
        <f t="shared" si="4"/>
        <v>1</v>
      </c>
    </row>
    <row r="292" spans="1:30" ht="13" customHeight="1" x14ac:dyDescent="0.35">
      <c r="A292" s="7" t="s">
        <v>32</v>
      </c>
      <c r="B292" s="8" t="s">
        <v>33</v>
      </c>
      <c r="C292" s="8"/>
      <c r="E292" s="8" t="s">
        <v>1690</v>
      </c>
      <c r="F292" s="9" t="s">
        <v>103</v>
      </c>
      <c r="G292" s="8" t="s">
        <v>36</v>
      </c>
      <c r="H292" s="10" t="s">
        <v>795</v>
      </c>
      <c r="I292" s="8" t="s">
        <v>1691</v>
      </c>
      <c r="J292" s="8" t="s">
        <v>815</v>
      </c>
      <c r="L292" s="56" t="s">
        <v>1692</v>
      </c>
      <c r="M292" s="57" t="s">
        <v>1693</v>
      </c>
      <c r="N292" s="11" t="s">
        <v>1694</v>
      </c>
      <c r="O292" s="11" t="s">
        <v>1680</v>
      </c>
      <c r="Q292" s="8"/>
      <c r="R292" s="8"/>
      <c r="S292" s="8"/>
      <c r="T292" s="8"/>
      <c r="U292" s="8"/>
      <c r="V292" s="8"/>
      <c r="W292" s="8"/>
      <c r="X292" s="8"/>
      <c r="Y292" s="13">
        <v>45615</v>
      </c>
      <c r="AA292" s="14" t="s">
        <v>1695</v>
      </c>
      <c r="AB292" s="12" t="s">
        <v>1682</v>
      </c>
      <c r="AD292">
        <f t="shared" si="4"/>
        <v>2</v>
      </c>
    </row>
    <row r="293" spans="1:30" ht="13" customHeight="1" x14ac:dyDescent="0.35">
      <c r="A293" s="7" t="s">
        <v>32</v>
      </c>
      <c r="B293" s="8" t="s">
        <v>70</v>
      </c>
      <c r="C293" s="8"/>
      <c r="D293" s="8" t="s">
        <v>101</v>
      </c>
      <c r="E293" s="34" t="s">
        <v>1696</v>
      </c>
      <c r="F293" s="9" t="s">
        <v>145</v>
      </c>
      <c r="G293" s="34" t="s">
        <v>1697</v>
      </c>
      <c r="H293" s="35"/>
      <c r="I293" s="34" t="s">
        <v>1698</v>
      </c>
      <c r="J293" s="34" t="s">
        <v>106</v>
      </c>
      <c r="K293" s="34"/>
      <c r="L293" s="48" t="s">
        <v>1699</v>
      </c>
      <c r="M293" s="35" t="s">
        <v>1507</v>
      </c>
      <c r="N293" s="35" t="s">
        <v>1686</v>
      </c>
      <c r="O293" s="36" t="s">
        <v>1700</v>
      </c>
      <c r="P293" s="34" t="s">
        <v>66</v>
      </c>
      <c r="Q293" s="34" t="s">
        <v>109</v>
      </c>
      <c r="R293" s="34" t="s">
        <v>110</v>
      </c>
      <c r="S293" s="8"/>
      <c r="T293" s="8"/>
      <c r="U293" s="8"/>
      <c r="V293" s="8"/>
      <c r="W293" s="8"/>
      <c r="X293" s="8"/>
      <c r="Y293" s="8"/>
      <c r="AA293" s="14" t="s">
        <v>1701</v>
      </c>
      <c r="AB293" s="12" t="s">
        <v>1689</v>
      </c>
      <c r="AD293">
        <f t="shared" si="4"/>
        <v>1</v>
      </c>
    </row>
    <row r="294" spans="1:30" ht="13" customHeight="1" x14ac:dyDescent="0.35">
      <c r="A294" s="7" t="s">
        <v>32</v>
      </c>
      <c r="B294" s="8" t="s">
        <v>33</v>
      </c>
      <c r="C294" s="8"/>
      <c r="E294" s="8" t="s">
        <v>1702</v>
      </c>
      <c r="F294" s="9" t="s">
        <v>103</v>
      </c>
      <c r="G294" s="8" t="s">
        <v>36</v>
      </c>
      <c r="H294" s="10" t="s">
        <v>591</v>
      </c>
      <c r="I294" s="8" t="s">
        <v>1499</v>
      </c>
      <c r="L294" s="79" t="s">
        <v>1703</v>
      </c>
      <c r="M294" s="72" t="s">
        <v>434</v>
      </c>
      <c r="N294" s="11" t="s">
        <v>1704</v>
      </c>
      <c r="O294" s="11" t="s">
        <v>1705</v>
      </c>
      <c r="Q294" s="8"/>
      <c r="R294" s="8"/>
      <c r="S294" s="8"/>
      <c r="T294" s="8"/>
      <c r="U294" s="8"/>
      <c r="V294" s="8"/>
      <c r="W294" s="8"/>
      <c r="X294" s="8"/>
      <c r="Y294" s="13">
        <v>45558</v>
      </c>
      <c r="Z294" s="8" t="s">
        <v>228</v>
      </c>
      <c r="AA294" s="14" t="s">
        <v>1706</v>
      </c>
      <c r="AD294">
        <f t="shared" si="4"/>
        <v>1</v>
      </c>
    </row>
    <row r="295" spans="1:30" ht="13" customHeight="1" x14ac:dyDescent="0.35">
      <c r="A295" s="7" t="s">
        <v>32</v>
      </c>
      <c r="B295" s="8" t="s">
        <v>33</v>
      </c>
      <c r="C295" s="8"/>
      <c r="E295" s="8" t="s">
        <v>1707</v>
      </c>
      <c r="F295" s="9" t="s">
        <v>103</v>
      </c>
      <c r="G295" s="8" t="s">
        <v>36</v>
      </c>
      <c r="H295" s="10" t="s">
        <v>591</v>
      </c>
      <c r="I295" s="8" t="s">
        <v>1708</v>
      </c>
      <c r="J295" s="8" t="s">
        <v>1268</v>
      </c>
      <c r="L295" s="79" t="s">
        <v>1709</v>
      </c>
      <c r="M295" s="57" t="s">
        <v>1710</v>
      </c>
      <c r="N295" s="11" t="s">
        <v>435</v>
      </c>
      <c r="O295" s="11" t="s">
        <v>1711</v>
      </c>
      <c r="Q295" s="8"/>
      <c r="R295" s="8"/>
      <c r="S295" s="8"/>
      <c r="T295" s="8"/>
      <c r="U295" s="8"/>
      <c r="V295" s="8"/>
      <c r="W295" s="8"/>
      <c r="X295" s="8"/>
      <c r="Y295" s="13">
        <v>45558</v>
      </c>
      <c r="Z295" s="8" t="s">
        <v>228</v>
      </c>
      <c r="AA295" s="14" t="s">
        <v>1712</v>
      </c>
      <c r="AB295" s="12" t="s">
        <v>1682</v>
      </c>
      <c r="AD295">
        <f t="shared" si="4"/>
        <v>2</v>
      </c>
    </row>
    <row r="296" spans="1:30" ht="13" customHeight="1" x14ac:dyDescent="0.35">
      <c r="A296" s="7" t="s">
        <v>32</v>
      </c>
      <c r="B296" s="8" t="s">
        <v>33</v>
      </c>
      <c r="C296" s="8"/>
      <c r="E296" s="8" t="s">
        <v>1713</v>
      </c>
      <c r="F296" s="8" t="s">
        <v>103</v>
      </c>
      <c r="G296" s="8" t="s">
        <v>36</v>
      </c>
      <c r="H296" s="10" t="s">
        <v>591</v>
      </c>
      <c r="I296" s="8" t="s">
        <v>1714</v>
      </c>
      <c r="J296" s="8" t="s">
        <v>39</v>
      </c>
      <c r="L296" s="79" t="s">
        <v>1715</v>
      </c>
      <c r="M296" s="57" t="s">
        <v>1716</v>
      </c>
      <c r="N296" s="11" t="s">
        <v>1717</v>
      </c>
      <c r="O296" s="11" t="s">
        <v>1718</v>
      </c>
      <c r="Q296" s="8"/>
      <c r="R296" s="8"/>
      <c r="S296" s="8"/>
      <c r="T296" s="8"/>
      <c r="U296" s="8"/>
      <c r="V296" s="8"/>
      <c r="W296" s="8"/>
      <c r="X296" s="8"/>
      <c r="Y296" s="13">
        <v>45558</v>
      </c>
      <c r="Z296" s="8" t="s">
        <v>228</v>
      </c>
      <c r="AA296" s="14" t="s">
        <v>1719</v>
      </c>
      <c r="AB296" s="12" t="s">
        <v>1720</v>
      </c>
      <c r="AD296">
        <f t="shared" si="4"/>
        <v>2</v>
      </c>
    </row>
    <row r="297" spans="1:30" ht="13" customHeight="1" x14ac:dyDescent="0.35">
      <c r="A297" s="7" t="s">
        <v>32</v>
      </c>
      <c r="B297" s="8" t="s">
        <v>33</v>
      </c>
      <c r="C297" s="8"/>
      <c r="E297" s="8" t="s">
        <v>1721</v>
      </c>
      <c r="F297" s="8" t="s">
        <v>103</v>
      </c>
      <c r="G297" s="8" t="s">
        <v>36</v>
      </c>
      <c r="H297" s="10" t="s">
        <v>591</v>
      </c>
      <c r="I297" s="8" t="s">
        <v>1722</v>
      </c>
      <c r="J297" s="8" t="s">
        <v>1268</v>
      </c>
      <c r="L297" s="79" t="s">
        <v>1715</v>
      </c>
      <c r="M297" s="57" t="s">
        <v>1716</v>
      </c>
      <c r="N297" s="11" t="s">
        <v>1723</v>
      </c>
      <c r="O297" s="11" t="s">
        <v>1718</v>
      </c>
      <c r="Q297" s="8"/>
      <c r="R297" s="8"/>
      <c r="S297" s="8"/>
      <c r="T297" s="8"/>
      <c r="U297" s="8"/>
      <c r="V297" s="8"/>
      <c r="W297" s="8"/>
      <c r="X297" s="8"/>
      <c r="Y297" s="13">
        <v>45558</v>
      </c>
      <c r="Z297" s="8" t="s">
        <v>228</v>
      </c>
      <c r="AA297" s="14" t="s">
        <v>1724</v>
      </c>
      <c r="AB297" s="12" t="s">
        <v>1682</v>
      </c>
      <c r="AD297">
        <f t="shared" si="4"/>
        <v>2</v>
      </c>
    </row>
    <row r="298" spans="1:30" ht="13" customHeight="1" x14ac:dyDescent="0.35">
      <c r="A298" s="7" t="s">
        <v>32</v>
      </c>
      <c r="B298" s="8" t="s">
        <v>33</v>
      </c>
      <c r="C298" s="8"/>
      <c r="E298" s="8" t="s">
        <v>1725</v>
      </c>
      <c r="F298" s="8" t="s">
        <v>103</v>
      </c>
      <c r="G298" s="8" t="s">
        <v>36</v>
      </c>
      <c r="H298" s="10" t="s">
        <v>591</v>
      </c>
      <c r="I298" s="8" t="s">
        <v>1726</v>
      </c>
      <c r="J298" s="8" t="s">
        <v>1268</v>
      </c>
      <c r="L298" s="79" t="s">
        <v>1715</v>
      </c>
      <c r="M298" s="57" t="s">
        <v>1716</v>
      </c>
      <c r="N298" s="11" t="s">
        <v>1723</v>
      </c>
      <c r="O298" s="11" t="s">
        <v>1718</v>
      </c>
      <c r="Q298" s="8"/>
      <c r="R298" s="8"/>
      <c r="S298" s="8"/>
      <c r="T298" s="8"/>
      <c r="U298" s="8"/>
      <c r="V298" s="8"/>
      <c r="W298" s="8"/>
      <c r="X298" s="8"/>
      <c r="Y298" s="13">
        <v>45558</v>
      </c>
      <c r="Z298" s="8" t="s">
        <v>228</v>
      </c>
      <c r="AA298" s="14" t="s">
        <v>1727</v>
      </c>
      <c r="AB298" s="12" t="s">
        <v>1682</v>
      </c>
      <c r="AD298">
        <f t="shared" si="4"/>
        <v>2</v>
      </c>
    </row>
    <row r="299" spans="1:30" ht="13" customHeight="1" x14ac:dyDescent="0.35">
      <c r="A299" s="7" t="s">
        <v>69</v>
      </c>
      <c r="B299" s="8" t="s">
        <v>879</v>
      </c>
      <c r="C299" s="8" t="s">
        <v>880</v>
      </c>
      <c r="E299" s="29" t="s">
        <v>1728</v>
      </c>
      <c r="F299" s="9" t="s">
        <v>548</v>
      </c>
      <c r="I299" s="8"/>
      <c r="L299" s="11"/>
      <c r="M299" s="11"/>
      <c r="N299" s="11"/>
      <c r="S299" s="8"/>
      <c r="T299" s="8"/>
      <c r="X299" s="8"/>
      <c r="AA299" s="14" t="s">
        <v>1729</v>
      </c>
      <c r="AB299" s="15"/>
      <c r="AD299" t="str">
        <f t="shared" si="4"/>
        <v/>
      </c>
    </row>
    <row r="300" spans="1:30" ht="13" customHeight="1" x14ac:dyDescent="0.35">
      <c r="A300" s="7" t="s">
        <v>69</v>
      </c>
      <c r="B300" s="8" t="s">
        <v>48</v>
      </c>
      <c r="C300" s="8"/>
      <c r="D300" s="8" t="s">
        <v>1730</v>
      </c>
      <c r="E300" s="24" t="s">
        <v>1061</v>
      </c>
      <c r="F300" s="9" t="s">
        <v>145</v>
      </c>
      <c r="I300" s="24" t="s">
        <v>1731</v>
      </c>
      <c r="L300" s="109" t="s">
        <v>1062</v>
      </c>
      <c r="M300" s="109" t="s">
        <v>965</v>
      </c>
      <c r="N300" s="109" t="s">
        <v>1063</v>
      </c>
      <c r="O300" s="31" t="s">
        <v>1732</v>
      </c>
      <c r="Q300" s="24"/>
      <c r="R300" s="24"/>
      <c r="S300" s="24"/>
      <c r="T300" s="24"/>
      <c r="U300" s="24"/>
      <c r="V300" s="24"/>
      <c r="W300" s="110"/>
      <c r="X300" s="24"/>
      <c r="Y300" s="8"/>
      <c r="AA300" s="14" t="s">
        <v>1733</v>
      </c>
      <c r="AD300">
        <f t="shared" si="4"/>
        <v>1</v>
      </c>
    </row>
    <row r="301" spans="1:30" ht="13" customHeight="1" x14ac:dyDescent="0.35">
      <c r="A301" s="7" t="s">
        <v>69</v>
      </c>
      <c r="B301" s="8" t="s">
        <v>70</v>
      </c>
      <c r="C301" s="8"/>
      <c r="D301" s="8" t="s">
        <v>1734</v>
      </c>
      <c r="E301" s="29" t="s">
        <v>1061</v>
      </c>
      <c r="F301" s="9" t="s">
        <v>145</v>
      </c>
      <c r="I301" s="8" t="s">
        <v>1735</v>
      </c>
      <c r="J301" s="111"/>
      <c r="L301" s="11" t="s">
        <v>1736</v>
      </c>
      <c r="M301" s="11" t="s">
        <v>965</v>
      </c>
      <c r="N301" s="11" t="s">
        <v>1063</v>
      </c>
      <c r="O301" s="11" t="s">
        <v>1737</v>
      </c>
      <c r="P301" s="24"/>
      <c r="Q301" s="8"/>
      <c r="R301" s="29" t="s">
        <v>78</v>
      </c>
      <c r="S301" s="8"/>
      <c r="T301" s="8" t="s">
        <v>1731</v>
      </c>
      <c r="U301" s="8"/>
      <c r="V301" s="8"/>
      <c r="W301" s="8"/>
      <c r="X301" s="8"/>
      <c r="Y301" s="8"/>
      <c r="AA301" s="14" t="s">
        <v>1738</v>
      </c>
      <c r="AD301">
        <f t="shared" si="4"/>
        <v>1</v>
      </c>
    </row>
    <row r="302" spans="1:30" ht="13" customHeight="1" x14ac:dyDescent="0.35">
      <c r="A302" s="7" t="s">
        <v>32</v>
      </c>
      <c r="B302" s="8" t="s">
        <v>33</v>
      </c>
      <c r="C302" s="8"/>
      <c r="E302" s="29" t="s">
        <v>1739</v>
      </c>
      <c r="F302" s="9" t="s">
        <v>103</v>
      </c>
      <c r="G302" s="8" t="s">
        <v>36</v>
      </c>
      <c r="H302" s="10" t="s">
        <v>795</v>
      </c>
      <c r="I302" s="8" t="s">
        <v>1740</v>
      </c>
      <c r="L302" s="11" t="s">
        <v>1741</v>
      </c>
      <c r="M302" s="11" t="s">
        <v>1742</v>
      </c>
      <c r="N302" s="11" t="s">
        <v>1743</v>
      </c>
      <c r="O302" s="31" t="s">
        <v>1744</v>
      </c>
      <c r="S302" s="8"/>
      <c r="T302" s="8"/>
      <c r="W302" s="29" t="s">
        <v>274</v>
      </c>
      <c r="X302" s="8"/>
      <c r="Y302" s="13">
        <v>45588</v>
      </c>
      <c r="AA302" s="14" t="s">
        <v>1745</v>
      </c>
      <c r="AB302" s="15"/>
      <c r="AD302">
        <f t="shared" si="4"/>
        <v>1</v>
      </c>
    </row>
    <row r="303" spans="1:30" ht="13" customHeight="1" x14ac:dyDescent="0.35">
      <c r="A303" s="7" t="s">
        <v>32</v>
      </c>
      <c r="B303" s="8" t="s">
        <v>33</v>
      </c>
      <c r="C303" s="8"/>
      <c r="E303" s="29" t="s">
        <v>1746</v>
      </c>
      <c r="F303" s="9" t="s">
        <v>103</v>
      </c>
      <c r="G303" s="8" t="s">
        <v>336</v>
      </c>
      <c r="H303" s="10" t="s">
        <v>591</v>
      </c>
      <c r="I303" s="8" t="s">
        <v>1747</v>
      </c>
      <c r="L303" s="11" t="s">
        <v>1748</v>
      </c>
      <c r="M303" s="11" t="s">
        <v>1649</v>
      </c>
      <c r="N303" s="11" t="s">
        <v>1650</v>
      </c>
      <c r="O303" s="31" t="s">
        <v>1749</v>
      </c>
      <c r="S303" s="8"/>
      <c r="T303" s="8"/>
      <c r="W303" s="29" t="s">
        <v>274</v>
      </c>
      <c r="X303" s="8"/>
      <c r="Y303" s="13">
        <v>45550</v>
      </c>
      <c r="AA303" s="14" t="s">
        <v>1750</v>
      </c>
      <c r="AB303" s="15"/>
      <c r="AD303">
        <f t="shared" si="4"/>
        <v>2</v>
      </c>
    </row>
    <row r="304" spans="1:30" ht="13" customHeight="1" x14ac:dyDescent="0.35">
      <c r="A304" s="7" t="s">
        <v>32</v>
      </c>
      <c r="B304" s="8" t="s">
        <v>33</v>
      </c>
      <c r="C304" s="8"/>
      <c r="E304" s="29" t="s">
        <v>1751</v>
      </c>
      <c r="F304" s="9" t="s">
        <v>103</v>
      </c>
      <c r="G304" s="8" t="s">
        <v>36</v>
      </c>
      <c r="H304" s="10" t="s">
        <v>591</v>
      </c>
      <c r="I304" s="8" t="s">
        <v>1752</v>
      </c>
      <c r="L304" s="11" t="s">
        <v>1753</v>
      </c>
      <c r="M304" s="11"/>
      <c r="N304" s="10"/>
      <c r="O304" s="31" t="s">
        <v>1754</v>
      </c>
      <c r="S304" s="8"/>
      <c r="T304" s="8"/>
      <c r="W304" s="29" t="s">
        <v>274</v>
      </c>
      <c r="X304" s="8"/>
      <c r="Y304" s="13">
        <v>45596</v>
      </c>
      <c r="AA304" s="14" t="s">
        <v>1755</v>
      </c>
      <c r="AB304" s="15"/>
      <c r="AD304" t="str">
        <f t="shared" si="4"/>
        <v/>
      </c>
    </row>
    <row r="305" spans="1:30" ht="13" customHeight="1" x14ac:dyDescent="0.35">
      <c r="A305" s="7" t="s">
        <v>32</v>
      </c>
      <c r="B305" s="8" t="s">
        <v>33</v>
      </c>
      <c r="C305" s="8"/>
      <c r="E305" s="29" t="s">
        <v>1756</v>
      </c>
      <c r="F305" s="9" t="s">
        <v>103</v>
      </c>
      <c r="G305" s="8" t="s">
        <v>36</v>
      </c>
      <c r="H305" s="10" t="s">
        <v>591</v>
      </c>
      <c r="I305" s="8" t="s">
        <v>1757</v>
      </c>
      <c r="L305" s="11" t="s">
        <v>1758</v>
      </c>
      <c r="M305" s="11" t="s">
        <v>1759</v>
      </c>
      <c r="N305" s="11" t="s">
        <v>1760</v>
      </c>
      <c r="O305" s="31" t="s">
        <v>1761</v>
      </c>
      <c r="S305" s="8"/>
      <c r="T305" s="8"/>
      <c r="W305" s="29" t="s">
        <v>274</v>
      </c>
      <c r="X305" s="8"/>
      <c r="Y305" s="13">
        <v>45582</v>
      </c>
      <c r="AA305" s="14" t="s">
        <v>1762</v>
      </c>
      <c r="AB305" s="15"/>
      <c r="AD305">
        <f t="shared" si="4"/>
        <v>1</v>
      </c>
    </row>
    <row r="306" spans="1:30" ht="13" customHeight="1" x14ac:dyDescent="0.35">
      <c r="A306" s="7" t="s">
        <v>32</v>
      </c>
      <c r="B306" s="8" t="s">
        <v>33</v>
      </c>
      <c r="C306" s="8"/>
      <c r="E306" s="8" t="s">
        <v>1763</v>
      </c>
      <c r="F306" s="9" t="s">
        <v>103</v>
      </c>
      <c r="G306" s="8" t="s">
        <v>336</v>
      </c>
      <c r="H306" s="10" t="s">
        <v>795</v>
      </c>
      <c r="I306" s="8" t="s">
        <v>1764</v>
      </c>
      <c r="J306" s="8" t="s">
        <v>815</v>
      </c>
      <c r="K306" s="8" t="s">
        <v>599</v>
      </c>
      <c r="L306" s="72" t="s">
        <v>1741</v>
      </c>
      <c r="M306" s="11" t="s">
        <v>1765</v>
      </c>
      <c r="N306" s="11" t="s">
        <v>1766</v>
      </c>
      <c r="O306" s="11" t="s">
        <v>1767</v>
      </c>
      <c r="Q306" s="8"/>
      <c r="R306" s="8"/>
      <c r="S306" s="8"/>
      <c r="T306" s="8"/>
      <c r="U306" s="8"/>
      <c r="V306" s="8"/>
      <c r="W306" s="8"/>
      <c r="X306" s="8"/>
      <c r="Y306" s="13">
        <v>45582</v>
      </c>
      <c r="AA306" s="14" t="s">
        <v>1768</v>
      </c>
      <c r="AB306" s="15" t="s">
        <v>1769</v>
      </c>
      <c r="AD306">
        <f t="shared" si="4"/>
        <v>2</v>
      </c>
    </row>
    <row r="307" spans="1:30" ht="13" customHeight="1" x14ac:dyDescent="0.35">
      <c r="A307" s="7" t="s">
        <v>32</v>
      </c>
      <c r="B307" s="8" t="s">
        <v>33</v>
      </c>
      <c r="C307" s="8"/>
      <c r="E307" s="8" t="s">
        <v>1770</v>
      </c>
      <c r="F307" s="8" t="s">
        <v>103</v>
      </c>
      <c r="G307" s="8" t="s">
        <v>36</v>
      </c>
      <c r="H307" s="10" t="s">
        <v>193</v>
      </c>
      <c r="I307" s="8" t="s">
        <v>1771</v>
      </c>
      <c r="K307" s="8" t="s">
        <v>40</v>
      </c>
      <c r="L307" s="79" t="s">
        <v>1772</v>
      </c>
      <c r="M307" s="72" t="s">
        <v>1773</v>
      </c>
      <c r="N307" s="10" t="s">
        <v>1774</v>
      </c>
      <c r="O307" s="11" t="s">
        <v>1775</v>
      </c>
      <c r="Q307" s="8"/>
      <c r="R307" s="8"/>
      <c r="S307" s="8"/>
      <c r="T307" s="8"/>
      <c r="U307" s="8"/>
      <c r="V307" s="8"/>
      <c r="W307" s="8"/>
      <c r="X307" s="8"/>
      <c r="Y307" s="13">
        <v>45581</v>
      </c>
      <c r="Z307" s="8" t="s">
        <v>228</v>
      </c>
      <c r="AA307" s="14" t="s">
        <v>1776</v>
      </c>
      <c r="AB307" s="15" t="s">
        <v>1777</v>
      </c>
      <c r="AD307">
        <f t="shared" si="4"/>
        <v>1</v>
      </c>
    </row>
    <row r="308" spans="1:30" ht="13" customHeight="1" x14ac:dyDescent="0.35">
      <c r="A308" s="7" t="s">
        <v>32</v>
      </c>
      <c r="B308" s="8" t="s">
        <v>33</v>
      </c>
      <c r="C308" s="8"/>
      <c r="E308" s="8" t="s">
        <v>1778</v>
      </c>
      <c r="F308" s="8" t="s">
        <v>103</v>
      </c>
      <c r="G308" s="8" t="s">
        <v>336</v>
      </c>
      <c r="H308" s="10" t="s">
        <v>591</v>
      </c>
      <c r="I308" s="8" t="s">
        <v>1779</v>
      </c>
      <c r="L308" s="56" t="s">
        <v>1780</v>
      </c>
      <c r="M308" s="57" t="s">
        <v>1781</v>
      </c>
      <c r="N308" s="11" t="s">
        <v>1782</v>
      </c>
      <c r="O308" s="11" t="s">
        <v>1783</v>
      </c>
      <c r="Q308" s="8"/>
      <c r="R308" s="8"/>
      <c r="S308" s="8"/>
      <c r="T308" s="8"/>
      <c r="U308" s="8"/>
      <c r="V308" s="8"/>
      <c r="W308" s="8"/>
      <c r="X308" s="8"/>
      <c r="Y308" s="13">
        <v>45558</v>
      </c>
      <c r="AA308" s="14" t="s">
        <v>1784</v>
      </c>
      <c r="AD308">
        <f t="shared" si="4"/>
        <v>3</v>
      </c>
    </row>
    <row r="309" spans="1:30" ht="13" customHeight="1" x14ac:dyDescent="0.35">
      <c r="A309" s="7" t="s">
        <v>32</v>
      </c>
      <c r="B309" s="8" t="s">
        <v>33</v>
      </c>
      <c r="C309" s="8"/>
      <c r="E309" s="8" t="s">
        <v>1785</v>
      </c>
      <c r="F309" s="8" t="s">
        <v>103</v>
      </c>
      <c r="G309" s="8" t="s">
        <v>36</v>
      </c>
      <c r="H309" s="10" t="s">
        <v>591</v>
      </c>
      <c r="I309" s="8" t="s">
        <v>1786</v>
      </c>
      <c r="L309" s="56" t="s">
        <v>1780</v>
      </c>
      <c r="M309" s="57" t="s">
        <v>1781</v>
      </c>
      <c r="N309" s="10" t="s">
        <v>1782</v>
      </c>
      <c r="O309" s="11" t="s">
        <v>1783</v>
      </c>
      <c r="Q309" s="8"/>
      <c r="R309" s="8"/>
      <c r="S309" s="8"/>
      <c r="T309" s="8"/>
      <c r="U309" s="8"/>
      <c r="V309" s="8"/>
      <c r="W309" s="8"/>
      <c r="X309" s="8"/>
      <c r="Y309" s="13">
        <v>45582</v>
      </c>
      <c r="AA309" s="14" t="s">
        <v>1787</v>
      </c>
      <c r="AD309">
        <f t="shared" si="4"/>
        <v>3</v>
      </c>
    </row>
    <row r="310" spans="1:30" ht="13" customHeight="1" x14ac:dyDescent="0.35">
      <c r="A310" s="7" t="s">
        <v>32</v>
      </c>
      <c r="B310" s="8" t="s">
        <v>33</v>
      </c>
      <c r="C310" s="8"/>
      <c r="E310" s="8" t="s">
        <v>1788</v>
      </c>
      <c r="F310" s="8" t="s">
        <v>103</v>
      </c>
      <c r="G310" s="8" t="s">
        <v>36</v>
      </c>
      <c r="H310" s="10" t="s">
        <v>591</v>
      </c>
      <c r="I310" s="8" t="s">
        <v>1789</v>
      </c>
      <c r="L310" s="56" t="s">
        <v>1780</v>
      </c>
      <c r="M310" s="57" t="s">
        <v>1781</v>
      </c>
      <c r="N310" s="10" t="s">
        <v>1782</v>
      </c>
      <c r="O310" s="11" t="s">
        <v>1783</v>
      </c>
      <c r="Q310" s="8"/>
      <c r="R310" s="8"/>
      <c r="S310" s="8"/>
      <c r="T310" s="8"/>
      <c r="U310" s="8"/>
      <c r="V310" s="8"/>
      <c r="W310" s="8"/>
      <c r="X310" s="8"/>
      <c r="Y310" s="13">
        <v>45582</v>
      </c>
      <c r="AA310" s="14" t="s">
        <v>1790</v>
      </c>
      <c r="AD310">
        <f t="shared" si="4"/>
        <v>3</v>
      </c>
    </row>
    <row r="311" spans="1:30" ht="13" customHeight="1" x14ac:dyDescent="0.35">
      <c r="A311" s="88" t="s">
        <v>32</v>
      </c>
      <c r="B311" s="89" t="s">
        <v>33</v>
      </c>
      <c r="C311" s="89"/>
      <c r="D311" s="89"/>
      <c r="E311" s="89" t="s">
        <v>1791</v>
      </c>
      <c r="F311" s="89" t="s">
        <v>103</v>
      </c>
      <c r="G311" s="89" t="s">
        <v>36</v>
      </c>
      <c r="H311" s="90" t="s">
        <v>591</v>
      </c>
      <c r="I311" s="89" t="s">
        <v>1792</v>
      </c>
      <c r="J311" s="89"/>
      <c r="K311" s="89"/>
      <c r="L311" s="103" t="s">
        <v>1793</v>
      </c>
      <c r="M311" s="90"/>
      <c r="N311" s="92"/>
      <c r="O311" s="92" t="s">
        <v>1794</v>
      </c>
      <c r="P311" s="89"/>
      <c r="Q311" s="89"/>
      <c r="R311" s="89"/>
      <c r="S311" s="89"/>
      <c r="T311" s="89"/>
      <c r="U311" s="89"/>
      <c r="V311" s="89"/>
      <c r="W311" s="89"/>
      <c r="X311" s="89"/>
      <c r="Y311" s="93">
        <v>45558</v>
      </c>
      <c r="Z311" s="89" t="s">
        <v>228</v>
      </c>
      <c r="AA311" s="14" t="s">
        <v>1795</v>
      </c>
      <c r="AD311" t="str">
        <f t="shared" si="4"/>
        <v/>
      </c>
    </row>
    <row r="312" spans="1:30" ht="13" customHeight="1" x14ac:dyDescent="0.35">
      <c r="A312" s="88" t="s">
        <v>32</v>
      </c>
      <c r="B312" s="89" t="s">
        <v>33</v>
      </c>
      <c r="C312" s="89"/>
      <c r="D312" s="89"/>
      <c r="E312" s="89" t="s">
        <v>1490</v>
      </c>
      <c r="F312" s="89" t="s">
        <v>103</v>
      </c>
      <c r="G312" s="89" t="s">
        <v>36</v>
      </c>
      <c r="H312" s="90" t="s">
        <v>591</v>
      </c>
      <c r="I312" s="89" t="s">
        <v>1796</v>
      </c>
      <c r="J312" s="89"/>
      <c r="K312" s="89"/>
      <c r="L312" s="90" t="s">
        <v>1797</v>
      </c>
      <c r="M312" s="90"/>
      <c r="N312" s="90"/>
      <c r="O312" s="92" t="s">
        <v>1494</v>
      </c>
      <c r="P312" s="89"/>
      <c r="Q312" s="89"/>
      <c r="R312" s="89"/>
      <c r="S312" s="89"/>
      <c r="T312" s="89"/>
      <c r="U312" s="89"/>
      <c r="V312" s="89"/>
      <c r="W312" s="89"/>
      <c r="X312" s="89"/>
      <c r="Y312" s="93">
        <v>45588</v>
      </c>
      <c r="Z312" s="89" t="s">
        <v>802</v>
      </c>
      <c r="AA312" s="14" t="s">
        <v>1798</v>
      </c>
      <c r="AD312" t="str">
        <f t="shared" si="4"/>
        <v/>
      </c>
    </row>
    <row r="313" spans="1:30" ht="13" customHeight="1" x14ac:dyDescent="0.35">
      <c r="A313" s="7" t="s">
        <v>32</v>
      </c>
      <c r="B313" s="8" t="s">
        <v>33</v>
      </c>
      <c r="C313" s="8"/>
      <c r="E313" s="8" t="s">
        <v>1799</v>
      </c>
      <c r="F313" s="9" t="s">
        <v>103</v>
      </c>
      <c r="G313" s="8" t="s">
        <v>36</v>
      </c>
      <c r="H313" s="10" t="s">
        <v>591</v>
      </c>
      <c r="I313" s="8" t="s">
        <v>1800</v>
      </c>
      <c r="L313" s="56" t="s">
        <v>433</v>
      </c>
      <c r="M313" s="72" t="s">
        <v>434</v>
      </c>
      <c r="N313" s="11" t="s">
        <v>1801</v>
      </c>
      <c r="O313" s="11" t="s">
        <v>1802</v>
      </c>
      <c r="Q313" s="8"/>
      <c r="R313" s="8"/>
      <c r="S313" s="8"/>
      <c r="T313" s="8"/>
      <c r="U313" s="8"/>
      <c r="V313" s="8"/>
      <c r="W313" s="8"/>
      <c r="X313" s="8"/>
      <c r="Y313" s="13">
        <v>45558</v>
      </c>
      <c r="AA313" s="14" t="s">
        <v>1803</v>
      </c>
      <c r="AD313">
        <f t="shared" si="4"/>
        <v>1</v>
      </c>
    </row>
    <row r="314" spans="1:30" ht="13" customHeight="1" x14ac:dyDescent="0.35">
      <c r="A314" s="7" t="s">
        <v>32</v>
      </c>
      <c r="B314" s="8" t="s">
        <v>70</v>
      </c>
      <c r="C314" s="8"/>
      <c r="D314" s="8" t="s">
        <v>120</v>
      </c>
      <c r="E314" s="9" t="s">
        <v>1081</v>
      </c>
      <c r="F314" s="9" t="s">
        <v>51</v>
      </c>
      <c r="G314" s="8" t="s">
        <v>130</v>
      </c>
      <c r="I314" s="8" t="s">
        <v>1804</v>
      </c>
      <c r="J314" s="9" t="s">
        <v>123</v>
      </c>
      <c r="K314" s="9" t="s">
        <v>132</v>
      </c>
      <c r="L314" s="48" t="s">
        <v>1805</v>
      </c>
      <c r="M314" s="10"/>
      <c r="N314" s="10"/>
      <c r="O314" s="11" t="s">
        <v>1806</v>
      </c>
      <c r="P314" s="16" t="s">
        <v>142</v>
      </c>
      <c r="Q314" s="9" t="s">
        <v>67</v>
      </c>
      <c r="R314" s="9" t="s">
        <v>118</v>
      </c>
      <c r="S314" s="8"/>
      <c r="T314" s="8"/>
      <c r="U314" s="8"/>
      <c r="V314" s="8"/>
      <c r="W314" s="8"/>
      <c r="X314" s="8"/>
      <c r="Y314" s="8"/>
      <c r="AA314" s="14" t="s">
        <v>1807</v>
      </c>
      <c r="AD314" t="str">
        <f t="shared" si="4"/>
        <v/>
      </c>
    </row>
    <row r="315" spans="1:30" ht="13" customHeight="1" x14ac:dyDescent="0.35">
      <c r="A315" s="7" t="s">
        <v>32</v>
      </c>
      <c r="B315" s="8" t="s">
        <v>70</v>
      </c>
      <c r="C315" s="8"/>
      <c r="D315" s="8" t="s">
        <v>101</v>
      </c>
      <c r="E315" s="29" t="s">
        <v>1808</v>
      </c>
      <c r="F315" s="9" t="s">
        <v>235</v>
      </c>
      <c r="G315" s="8" t="s">
        <v>1809</v>
      </c>
      <c r="I315" s="8" t="s">
        <v>1810</v>
      </c>
      <c r="J315" s="8" t="s">
        <v>106</v>
      </c>
      <c r="L315" s="53" t="s">
        <v>703</v>
      </c>
      <c r="M315" s="10" t="s">
        <v>704</v>
      </c>
      <c r="N315" s="10"/>
      <c r="O315" s="31" t="s">
        <v>1811</v>
      </c>
      <c r="P315" s="8" t="s">
        <v>66</v>
      </c>
      <c r="Q315" s="29" t="s">
        <v>109</v>
      </c>
      <c r="R315" s="29" t="s">
        <v>110</v>
      </c>
      <c r="S315" s="8"/>
      <c r="T315" s="8"/>
      <c r="W315" s="29" t="s">
        <v>274</v>
      </c>
      <c r="X315" s="8"/>
      <c r="AA315" s="14" t="s">
        <v>1812</v>
      </c>
      <c r="AD315">
        <f t="shared" si="4"/>
        <v>1</v>
      </c>
    </row>
    <row r="316" spans="1:30" ht="13" customHeight="1" x14ac:dyDescent="0.35">
      <c r="A316" s="88" t="s">
        <v>32</v>
      </c>
      <c r="B316" s="89" t="s">
        <v>33</v>
      </c>
      <c r="C316" s="89"/>
      <c r="D316" s="89"/>
      <c r="E316" s="89" t="s">
        <v>1813</v>
      </c>
      <c r="F316" s="89" t="s">
        <v>103</v>
      </c>
      <c r="G316" s="89" t="s">
        <v>36</v>
      </c>
      <c r="H316" s="90" t="s">
        <v>591</v>
      </c>
      <c r="I316" s="89" t="s">
        <v>1814</v>
      </c>
      <c r="J316" s="89"/>
      <c r="K316" s="89"/>
      <c r="L316" s="91" t="s">
        <v>1815</v>
      </c>
      <c r="M316" s="90"/>
      <c r="N316" s="90"/>
      <c r="O316" s="92" t="s">
        <v>1816</v>
      </c>
      <c r="P316" s="89"/>
      <c r="Q316" s="89"/>
      <c r="R316" s="89"/>
      <c r="S316" s="89"/>
      <c r="T316" s="89"/>
      <c r="U316" s="89"/>
      <c r="V316" s="89"/>
      <c r="W316" s="89"/>
      <c r="X316" s="89"/>
      <c r="Y316" s="93">
        <v>45588</v>
      </c>
      <c r="Z316" s="89"/>
      <c r="AA316" s="14" t="s">
        <v>1817</v>
      </c>
      <c r="AD316" t="str">
        <f t="shared" si="4"/>
        <v/>
      </c>
    </row>
    <row r="317" spans="1:30" ht="13" customHeight="1" x14ac:dyDescent="0.35">
      <c r="A317" s="88" t="s">
        <v>32</v>
      </c>
      <c r="B317" s="89" t="s">
        <v>33</v>
      </c>
      <c r="C317" s="89"/>
      <c r="D317" s="89"/>
      <c r="E317" s="89" t="s">
        <v>1818</v>
      </c>
      <c r="F317" s="89" t="s">
        <v>103</v>
      </c>
      <c r="G317" s="89" t="s">
        <v>36</v>
      </c>
      <c r="H317" s="90" t="s">
        <v>591</v>
      </c>
      <c r="I317" s="89" t="s">
        <v>1819</v>
      </c>
      <c r="J317" s="89"/>
      <c r="K317" s="89"/>
      <c r="L317" s="90" t="s">
        <v>1820</v>
      </c>
      <c r="M317" s="90"/>
      <c r="N317" s="90"/>
      <c r="O317" s="92" t="s">
        <v>1821</v>
      </c>
      <c r="P317" s="89"/>
      <c r="Q317" s="89"/>
      <c r="R317" s="89"/>
      <c r="S317" s="89"/>
      <c r="T317" s="89"/>
      <c r="U317" s="89"/>
      <c r="V317" s="89"/>
      <c r="W317" s="89"/>
      <c r="X317" s="89"/>
      <c r="Y317" s="93">
        <v>45588</v>
      </c>
      <c r="Z317" s="89"/>
      <c r="AA317" s="14" t="s">
        <v>1822</v>
      </c>
      <c r="AD317" t="str">
        <f t="shared" si="4"/>
        <v/>
      </c>
    </row>
    <row r="318" spans="1:30" ht="13" customHeight="1" x14ac:dyDescent="0.35">
      <c r="A318" s="7" t="s">
        <v>32</v>
      </c>
      <c r="B318" s="8" t="s">
        <v>70</v>
      </c>
      <c r="C318" s="8"/>
      <c r="D318" s="8" t="s">
        <v>120</v>
      </c>
      <c r="E318" s="29" t="s">
        <v>1808</v>
      </c>
      <c r="F318" s="9" t="s">
        <v>235</v>
      </c>
      <c r="G318" s="8" t="s">
        <v>52</v>
      </c>
      <c r="I318" s="8" t="s">
        <v>1810</v>
      </c>
      <c r="J318" s="8" t="s">
        <v>123</v>
      </c>
      <c r="K318" s="8" t="s">
        <v>132</v>
      </c>
      <c r="L318" s="48" t="s">
        <v>703</v>
      </c>
      <c r="M318" s="11" t="s">
        <v>704</v>
      </c>
      <c r="N318" s="10"/>
      <c r="O318" s="31" t="s">
        <v>1811</v>
      </c>
      <c r="P318" s="8" t="s">
        <v>66</v>
      </c>
      <c r="Q318" s="29" t="s">
        <v>109</v>
      </c>
      <c r="R318" s="29" t="s">
        <v>110</v>
      </c>
      <c r="S318" s="8"/>
      <c r="T318" s="8"/>
      <c r="W318" s="29" t="s">
        <v>274</v>
      </c>
      <c r="X318" s="8"/>
      <c r="AA318" s="14" t="s">
        <v>1823</v>
      </c>
      <c r="AB318" s="15"/>
      <c r="AD318">
        <f t="shared" si="4"/>
        <v>1</v>
      </c>
    </row>
    <row r="319" spans="1:30" ht="13" customHeight="1" x14ac:dyDescent="0.35">
      <c r="A319" s="7" t="s">
        <v>32</v>
      </c>
      <c r="B319" s="8" t="s">
        <v>70</v>
      </c>
      <c r="C319" s="8"/>
      <c r="D319" s="8" t="s">
        <v>120</v>
      </c>
      <c r="E319" s="29" t="s">
        <v>1824</v>
      </c>
      <c r="F319" s="9" t="s">
        <v>235</v>
      </c>
      <c r="G319" s="8" t="s">
        <v>52</v>
      </c>
      <c r="I319" s="8" t="s">
        <v>1825</v>
      </c>
      <c r="J319" s="8" t="s">
        <v>123</v>
      </c>
      <c r="K319" s="8" t="s">
        <v>55</v>
      </c>
      <c r="L319" s="53" t="s">
        <v>1826</v>
      </c>
      <c r="M319" s="10" t="s">
        <v>1827</v>
      </c>
      <c r="N319" s="10"/>
      <c r="P319" s="8" t="s">
        <v>66</v>
      </c>
      <c r="Q319" s="29" t="s">
        <v>67</v>
      </c>
      <c r="R319" s="29" t="s">
        <v>118</v>
      </c>
      <c r="S319" s="8"/>
      <c r="T319" s="8"/>
      <c r="W319" s="29" t="s">
        <v>274</v>
      </c>
      <c r="X319" s="8"/>
      <c r="AA319" s="14" t="s">
        <v>1828</v>
      </c>
      <c r="AD319">
        <f t="shared" si="4"/>
        <v>1</v>
      </c>
    </row>
    <row r="320" spans="1:30" ht="13" customHeight="1" x14ac:dyDescent="0.35">
      <c r="A320" s="7" t="s">
        <v>32</v>
      </c>
      <c r="B320" s="8" t="s">
        <v>48</v>
      </c>
      <c r="C320" s="8"/>
      <c r="D320" s="8" t="s">
        <v>172</v>
      </c>
      <c r="E320" s="29" t="s">
        <v>1829</v>
      </c>
      <c r="F320" s="9" t="s">
        <v>145</v>
      </c>
      <c r="G320" s="8" t="s">
        <v>174</v>
      </c>
      <c r="I320" s="8" t="s">
        <v>1830</v>
      </c>
      <c r="J320" s="8" t="s">
        <v>176</v>
      </c>
      <c r="K320" s="8" t="s">
        <v>55</v>
      </c>
      <c r="L320" s="48" t="s">
        <v>1831</v>
      </c>
      <c r="M320" s="11" t="s">
        <v>1832</v>
      </c>
      <c r="N320" s="11" t="s">
        <v>1833</v>
      </c>
      <c r="O320" s="31" t="s">
        <v>1834</v>
      </c>
      <c r="P320" s="8" t="s">
        <v>66</v>
      </c>
      <c r="Q320" s="29" t="s">
        <v>67</v>
      </c>
      <c r="S320" s="8"/>
      <c r="T320" s="8"/>
      <c r="W320" s="29" t="s">
        <v>274</v>
      </c>
      <c r="X320" s="8"/>
      <c r="AA320" s="14" t="s">
        <v>1835</v>
      </c>
      <c r="AB320" s="15"/>
      <c r="AD320">
        <f t="shared" si="4"/>
        <v>1</v>
      </c>
    </row>
    <row r="321" spans="1:30" ht="13" customHeight="1" x14ac:dyDescent="0.35">
      <c r="A321" s="7" t="s">
        <v>32</v>
      </c>
      <c r="B321" s="8" t="s">
        <v>33</v>
      </c>
      <c r="C321" s="8"/>
      <c r="E321" s="8" t="s">
        <v>1836</v>
      </c>
      <c r="F321" s="8" t="s">
        <v>103</v>
      </c>
      <c r="G321" s="8" t="s">
        <v>36</v>
      </c>
      <c r="H321" s="10" t="s">
        <v>440</v>
      </c>
      <c r="I321" s="8" t="s">
        <v>1837</v>
      </c>
      <c r="J321" s="8" t="s">
        <v>432</v>
      </c>
      <c r="L321" s="56" t="s">
        <v>1838</v>
      </c>
      <c r="M321" s="57" t="s">
        <v>1839</v>
      </c>
      <c r="N321" s="11" t="s">
        <v>1840</v>
      </c>
      <c r="O321" s="11" t="s">
        <v>1841</v>
      </c>
      <c r="Q321" s="8"/>
      <c r="R321" s="8"/>
      <c r="S321" s="8"/>
      <c r="T321" s="8"/>
      <c r="U321" s="8"/>
      <c r="V321" s="8"/>
      <c r="W321" s="8"/>
      <c r="X321" s="8"/>
      <c r="Y321" s="13">
        <v>45614</v>
      </c>
      <c r="AA321" s="14" t="s">
        <v>1842</v>
      </c>
      <c r="AD321">
        <f t="shared" si="4"/>
        <v>3</v>
      </c>
    </row>
    <row r="322" spans="1:30" ht="13" customHeight="1" x14ac:dyDescent="0.35">
      <c r="A322" s="88" t="s">
        <v>32</v>
      </c>
      <c r="B322" s="89" t="s">
        <v>33</v>
      </c>
      <c r="C322" s="89"/>
      <c r="D322" s="89"/>
      <c r="E322" s="89" t="s">
        <v>1843</v>
      </c>
      <c r="F322" s="89" t="s">
        <v>103</v>
      </c>
      <c r="G322" s="89" t="s">
        <v>36</v>
      </c>
      <c r="H322" s="90" t="s">
        <v>591</v>
      </c>
      <c r="I322" s="89" t="s">
        <v>1844</v>
      </c>
      <c r="J322" s="89"/>
      <c r="K322" s="89"/>
      <c r="L322" s="91" t="s">
        <v>1845</v>
      </c>
      <c r="M322" s="90"/>
      <c r="N322" s="92"/>
      <c r="O322" s="92" t="s">
        <v>1846</v>
      </c>
      <c r="P322" s="89"/>
      <c r="Q322" s="89"/>
      <c r="R322" s="89"/>
      <c r="S322" s="89"/>
      <c r="T322" s="89"/>
      <c r="U322" s="89"/>
      <c r="V322" s="89"/>
      <c r="W322" s="89"/>
      <c r="X322" s="89"/>
      <c r="Y322" s="93">
        <v>45558</v>
      </c>
      <c r="Z322" s="89"/>
      <c r="AA322" s="14" t="s">
        <v>1847</v>
      </c>
      <c r="AD322" t="str">
        <f t="shared" ref="AD322:AD385" si="5">IF(M322="","",COUNTA(_xlfn.TEXTSPLIT(M322,CHAR(10))))</f>
        <v/>
      </c>
    </row>
    <row r="323" spans="1:30" ht="13" customHeight="1" x14ac:dyDescent="0.35">
      <c r="A323" s="88" t="s">
        <v>32</v>
      </c>
      <c r="B323" s="89" t="s">
        <v>33</v>
      </c>
      <c r="C323" s="89"/>
      <c r="D323" s="89"/>
      <c r="E323" s="89" t="s">
        <v>1848</v>
      </c>
      <c r="F323" s="89" t="s">
        <v>103</v>
      </c>
      <c r="G323" s="89" t="s">
        <v>36</v>
      </c>
      <c r="H323" s="90" t="s">
        <v>591</v>
      </c>
      <c r="I323" s="89" t="s">
        <v>1849</v>
      </c>
      <c r="J323" s="89"/>
      <c r="K323" s="89"/>
      <c r="L323" s="91" t="s">
        <v>1815</v>
      </c>
      <c r="M323" s="90"/>
      <c r="N323" s="92"/>
      <c r="O323" s="92" t="s">
        <v>1850</v>
      </c>
      <c r="P323" s="89"/>
      <c r="Q323" s="89"/>
      <c r="R323" s="89"/>
      <c r="S323" s="89"/>
      <c r="T323" s="89"/>
      <c r="U323" s="89"/>
      <c r="V323" s="89"/>
      <c r="W323" s="89"/>
      <c r="X323" s="89"/>
      <c r="Y323" s="93">
        <v>45588</v>
      </c>
      <c r="Z323" s="89"/>
      <c r="AA323" s="14" t="s">
        <v>1851</v>
      </c>
      <c r="AD323" t="str">
        <f t="shared" si="5"/>
        <v/>
      </c>
    </row>
    <row r="324" spans="1:30" ht="13" customHeight="1" x14ac:dyDescent="0.35">
      <c r="A324" s="88" t="s">
        <v>32</v>
      </c>
      <c r="B324" s="89" t="s">
        <v>33</v>
      </c>
      <c r="C324" s="89"/>
      <c r="D324" s="89"/>
      <c r="E324" s="89" t="s">
        <v>1852</v>
      </c>
      <c r="F324" s="89" t="s">
        <v>103</v>
      </c>
      <c r="G324" s="89" t="s">
        <v>336</v>
      </c>
      <c r="H324" s="90" t="s">
        <v>591</v>
      </c>
      <c r="I324" s="89" t="s">
        <v>1853</v>
      </c>
      <c r="J324" s="89"/>
      <c r="K324" s="89"/>
      <c r="L324" s="90" t="s">
        <v>1854</v>
      </c>
      <c r="M324" s="90"/>
      <c r="N324" s="90"/>
      <c r="O324" s="92" t="s">
        <v>1855</v>
      </c>
      <c r="P324" s="89"/>
      <c r="Q324" s="89"/>
      <c r="R324" s="89"/>
      <c r="S324" s="89"/>
      <c r="T324" s="89"/>
      <c r="U324" s="89"/>
      <c r="V324" s="89"/>
      <c r="W324" s="89"/>
      <c r="X324" s="89"/>
      <c r="Y324" s="93">
        <v>45550</v>
      </c>
      <c r="Z324" s="89"/>
      <c r="AA324" s="14" t="s">
        <v>1856</v>
      </c>
      <c r="AD324" t="str">
        <f t="shared" si="5"/>
        <v/>
      </c>
    </row>
    <row r="325" spans="1:30" ht="13" customHeight="1" x14ac:dyDescent="0.35">
      <c r="A325" s="88" t="s">
        <v>32</v>
      </c>
      <c r="B325" s="89" t="s">
        <v>33</v>
      </c>
      <c r="C325" s="89"/>
      <c r="D325" s="89"/>
      <c r="E325" s="89" t="s">
        <v>1857</v>
      </c>
      <c r="F325" s="89" t="s">
        <v>103</v>
      </c>
      <c r="G325" s="89" t="s">
        <v>36</v>
      </c>
      <c r="H325" s="90" t="s">
        <v>591</v>
      </c>
      <c r="I325" s="89" t="s">
        <v>1858</v>
      </c>
      <c r="J325" s="89"/>
      <c r="K325" s="89"/>
      <c r="L325" s="91" t="s">
        <v>1859</v>
      </c>
      <c r="M325" s="90"/>
      <c r="N325" s="90"/>
      <c r="O325" s="92" t="s">
        <v>1860</v>
      </c>
      <c r="P325" s="89"/>
      <c r="Q325" s="89"/>
      <c r="R325" s="89"/>
      <c r="S325" s="89"/>
      <c r="T325" s="89"/>
      <c r="U325" s="89"/>
      <c r="V325" s="89"/>
      <c r="W325" s="89"/>
      <c r="X325" s="89"/>
      <c r="Y325" s="93">
        <v>45587</v>
      </c>
      <c r="Z325" s="89"/>
      <c r="AA325" s="14" t="s">
        <v>1861</v>
      </c>
      <c r="AD325" t="str">
        <f t="shared" si="5"/>
        <v/>
      </c>
    </row>
    <row r="326" spans="1:30" ht="13" customHeight="1" x14ac:dyDescent="0.35">
      <c r="A326" s="7" t="s">
        <v>32</v>
      </c>
      <c r="B326" s="8" t="s">
        <v>48</v>
      </c>
      <c r="C326" s="8"/>
      <c r="D326" s="8" t="s">
        <v>172</v>
      </c>
      <c r="E326" s="29" t="s">
        <v>1862</v>
      </c>
      <c r="F326" s="9" t="s">
        <v>145</v>
      </c>
      <c r="G326" s="8" t="s">
        <v>174</v>
      </c>
      <c r="I326" s="8" t="s">
        <v>1863</v>
      </c>
      <c r="J326" s="8" t="s">
        <v>176</v>
      </c>
      <c r="K326" s="8" t="s">
        <v>55</v>
      </c>
      <c r="L326" s="48" t="s">
        <v>1831</v>
      </c>
      <c r="M326" s="11" t="s">
        <v>1832</v>
      </c>
      <c r="N326" s="11" t="s">
        <v>1833</v>
      </c>
      <c r="O326" s="31" t="s">
        <v>1834</v>
      </c>
      <c r="P326" s="8" t="s">
        <v>58</v>
      </c>
      <c r="Q326" s="29" t="s">
        <v>1864</v>
      </c>
      <c r="R326" s="29" t="s">
        <v>118</v>
      </c>
      <c r="S326" s="8"/>
      <c r="T326" s="8"/>
      <c r="W326" s="29" t="s">
        <v>274</v>
      </c>
      <c r="X326" s="8"/>
      <c r="AA326" s="14" t="s">
        <v>1865</v>
      </c>
      <c r="AB326" s="15"/>
      <c r="AD326">
        <f t="shared" si="5"/>
        <v>1</v>
      </c>
    </row>
    <row r="327" spans="1:30" ht="13" customHeight="1" x14ac:dyDescent="0.35">
      <c r="A327" s="7" t="s">
        <v>32</v>
      </c>
      <c r="B327" s="8" t="s">
        <v>48</v>
      </c>
      <c r="C327" s="8"/>
      <c r="D327" s="8" t="s">
        <v>172</v>
      </c>
      <c r="E327" s="29" t="s">
        <v>1866</v>
      </c>
      <c r="F327" s="9" t="s">
        <v>235</v>
      </c>
      <c r="G327" s="8" t="s">
        <v>52</v>
      </c>
      <c r="I327" s="8" t="s">
        <v>1867</v>
      </c>
      <c r="J327" s="8" t="s">
        <v>176</v>
      </c>
      <c r="K327" s="8" t="s">
        <v>55</v>
      </c>
      <c r="L327" s="48" t="s">
        <v>1868</v>
      </c>
      <c r="M327" s="11" t="s">
        <v>777</v>
      </c>
      <c r="N327" s="11"/>
      <c r="O327" s="31" t="s">
        <v>1869</v>
      </c>
      <c r="P327" s="8" t="s">
        <v>66</v>
      </c>
      <c r="Q327" s="29" t="s">
        <v>67</v>
      </c>
      <c r="R327" s="29" t="s">
        <v>60</v>
      </c>
      <c r="S327" s="8"/>
      <c r="T327" s="8"/>
      <c r="W327" s="29" t="s">
        <v>274</v>
      </c>
      <c r="X327" s="8"/>
      <c r="AA327" s="14" t="s">
        <v>1870</v>
      </c>
      <c r="AB327" s="15"/>
      <c r="AD327">
        <f t="shared" si="5"/>
        <v>1</v>
      </c>
    </row>
    <row r="328" spans="1:30" ht="13" customHeight="1" x14ac:dyDescent="0.35">
      <c r="A328" s="88" t="s">
        <v>32</v>
      </c>
      <c r="B328" s="89" t="s">
        <v>33</v>
      </c>
      <c r="C328" s="89"/>
      <c r="D328" s="89"/>
      <c r="E328" s="89" t="s">
        <v>1871</v>
      </c>
      <c r="F328" s="89" t="s">
        <v>103</v>
      </c>
      <c r="G328" s="89" t="s">
        <v>36</v>
      </c>
      <c r="H328" s="90" t="s">
        <v>591</v>
      </c>
      <c r="I328" s="89" t="s">
        <v>1872</v>
      </c>
      <c r="J328" s="89"/>
      <c r="K328" s="89"/>
      <c r="L328" s="91" t="s">
        <v>1859</v>
      </c>
      <c r="M328" s="90"/>
      <c r="N328" s="90"/>
      <c r="O328" s="92" t="s">
        <v>1860</v>
      </c>
      <c r="P328" s="89"/>
      <c r="Q328" s="89"/>
      <c r="R328" s="89"/>
      <c r="S328" s="89"/>
      <c r="T328" s="89"/>
      <c r="U328" s="89"/>
      <c r="V328" s="89"/>
      <c r="W328" s="89"/>
      <c r="X328" s="89"/>
      <c r="Y328" s="93">
        <v>45587</v>
      </c>
      <c r="Z328" s="89"/>
      <c r="AA328" s="14" t="s">
        <v>1873</v>
      </c>
      <c r="AD328" t="str">
        <f t="shared" si="5"/>
        <v/>
      </c>
    </row>
    <row r="329" spans="1:30" ht="13" customHeight="1" x14ac:dyDescent="0.35">
      <c r="A329" s="88" t="s">
        <v>32</v>
      </c>
      <c r="B329" s="89" t="s">
        <v>33</v>
      </c>
      <c r="C329" s="89"/>
      <c r="D329" s="89"/>
      <c r="E329" s="89" t="s">
        <v>1097</v>
      </c>
      <c r="F329" s="89" t="s">
        <v>103</v>
      </c>
      <c r="G329" s="89" t="s">
        <v>36</v>
      </c>
      <c r="H329" s="90" t="s">
        <v>223</v>
      </c>
      <c r="I329" s="89" t="s">
        <v>1098</v>
      </c>
      <c r="J329" s="89"/>
      <c r="K329" s="89" t="s">
        <v>40</v>
      </c>
      <c r="L329" s="91" t="s">
        <v>1099</v>
      </c>
      <c r="M329" s="90" t="s">
        <v>1100</v>
      </c>
      <c r="N329" s="92" t="s">
        <v>1101</v>
      </c>
      <c r="O329" s="92" t="s">
        <v>1102</v>
      </c>
      <c r="P329" s="89"/>
      <c r="Q329" s="89"/>
      <c r="R329" s="89"/>
      <c r="S329" s="89"/>
      <c r="T329" s="89"/>
      <c r="U329" s="89"/>
      <c r="V329" s="89"/>
      <c r="W329" s="89"/>
      <c r="X329" s="89"/>
      <c r="Y329" s="93">
        <v>45558</v>
      </c>
      <c r="Z329" s="89"/>
      <c r="AA329" s="14" t="s">
        <v>1874</v>
      </c>
      <c r="AB329" s="15" t="s">
        <v>1875</v>
      </c>
      <c r="AD329">
        <f t="shared" si="5"/>
        <v>1</v>
      </c>
    </row>
    <row r="330" spans="1:30" ht="13" customHeight="1" x14ac:dyDescent="0.35">
      <c r="A330" s="7" t="s">
        <v>32</v>
      </c>
      <c r="B330" s="8" t="s">
        <v>70</v>
      </c>
      <c r="C330" s="8"/>
      <c r="D330" s="8" t="s">
        <v>101</v>
      </c>
      <c r="E330" s="29" t="s">
        <v>1876</v>
      </c>
      <c r="F330" s="9" t="s">
        <v>235</v>
      </c>
      <c r="G330" s="8" t="s">
        <v>1877</v>
      </c>
      <c r="I330" s="8" t="s">
        <v>1878</v>
      </c>
      <c r="J330" s="8" t="s">
        <v>106</v>
      </c>
      <c r="L330" s="53" t="s">
        <v>1879</v>
      </c>
      <c r="M330" s="10" t="s">
        <v>777</v>
      </c>
      <c r="N330" s="10"/>
      <c r="O330" s="31" t="s">
        <v>1880</v>
      </c>
      <c r="P330" s="8" t="s">
        <v>66</v>
      </c>
      <c r="Q330" s="29" t="s">
        <v>109</v>
      </c>
      <c r="R330" s="29" t="s">
        <v>780</v>
      </c>
      <c r="S330" s="8"/>
      <c r="T330" s="8"/>
      <c r="W330" s="29" t="s">
        <v>274</v>
      </c>
      <c r="X330" s="8"/>
      <c r="AA330" s="14" t="s">
        <v>1881</v>
      </c>
      <c r="AD330">
        <f t="shared" si="5"/>
        <v>1</v>
      </c>
    </row>
    <row r="331" spans="1:30" ht="13" customHeight="1" x14ac:dyDescent="0.35">
      <c r="A331" s="7" t="s">
        <v>32</v>
      </c>
      <c r="B331" s="8" t="s">
        <v>70</v>
      </c>
      <c r="C331" s="8"/>
      <c r="D331" s="8" t="s">
        <v>101</v>
      </c>
      <c r="E331" s="29" t="s">
        <v>1882</v>
      </c>
      <c r="F331" s="9" t="s">
        <v>103</v>
      </c>
      <c r="G331" s="8" t="s">
        <v>1883</v>
      </c>
      <c r="I331" s="8" t="s">
        <v>1884</v>
      </c>
      <c r="J331" s="8" t="s">
        <v>106</v>
      </c>
      <c r="L331" s="11" t="s">
        <v>1885</v>
      </c>
      <c r="M331" s="11"/>
      <c r="N331" s="10"/>
      <c r="O331" s="31" t="s">
        <v>1886</v>
      </c>
      <c r="P331" s="8" t="s">
        <v>66</v>
      </c>
      <c r="Q331" s="29" t="s">
        <v>109</v>
      </c>
      <c r="R331" s="29" t="s">
        <v>110</v>
      </c>
      <c r="S331" s="8"/>
      <c r="T331" s="8"/>
      <c r="W331" s="29" t="s">
        <v>274</v>
      </c>
      <c r="X331" s="8"/>
      <c r="AA331" s="14" t="s">
        <v>1887</v>
      </c>
      <c r="AB331" s="15" t="s">
        <v>318</v>
      </c>
      <c r="AD331" t="str">
        <f t="shared" si="5"/>
        <v/>
      </c>
    </row>
    <row r="332" spans="1:30" ht="13" customHeight="1" x14ac:dyDescent="0.35">
      <c r="A332" s="7" t="s">
        <v>32</v>
      </c>
      <c r="B332" s="8" t="s">
        <v>33</v>
      </c>
      <c r="C332" s="8"/>
      <c r="E332" s="49" t="s">
        <v>1888</v>
      </c>
      <c r="F332" s="9" t="s">
        <v>103</v>
      </c>
      <c r="G332" s="8" t="s">
        <v>36</v>
      </c>
      <c r="H332" s="10" t="s">
        <v>193</v>
      </c>
      <c r="I332" s="38" t="s">
        <v>1889</v>
      </c>
      <c r="J332" s="38"/>
      <c r="K332" s="8" t="s">
        <v>40</v>
      </c>
      <c r="L332" s="41" t="s">
        <v>577</v>
      </c>
      <c r="M332" s="41" t="s">
        <v>1890</v>
      </c>
      <c r="N332" s="41" t="s">
        <v>1891</v>
      </c>
      <c r="O332" s="50" t="s">
        <v>1892</v>
      </c>
      <c r="P332" s="38" t="s">
        <v>58</v>
      </c>
      <c r="Q332" s="87" t="s">
        <v>820</v>
      </c>
      <c r="R332" s="49"/>
      <c r="S332" s="8"/>
      <c r="T332" s="8"/>
      <c r="X332" s="8"/>
      <c r="Y332" s="13">
        <v>45582</v>
      </c>
      <c r="Z332" s="8" t="s">
        <v>228</v>
      </c>
      <c r="AA332" s="14" t="s">
        <v>1893</v>
      </c>
      <c r="AB332" s="15" t="s">
        <v>1894</v>
      </c>
      <c r="AD332">
        <f t="shared" si="5"/>
        <v>1</v>
      </c>
    </row>
    <row r="333" spans="1:30" ht="13" customHeight="1" x14ac:dyDescent="0.35">
      <c r="A333" s="7" t="s">
        <v>32</v>
      </c>
      <c r="B333" s="8" t="s">
        <v>438</v>
      </c>
      <c r="C333" s="8"/>
      <c r="E333" s="8" t="s">
        <v>1895</v>
      </c>
      <c r="F333" s="9" t="s">
        <v>103</v>
      </c>
      <c r="G333" s="8" t="s">
        <v>36</v>
      </c>
      <c r="H333" s="10" t="s">
        <v>440</v>
      </c>
      <c r="I333" s="8" t="s">
        <v>1896</v>
      </c>
      <c r="K333" s="8" t="s">
        <v>40</v>
      </c>
      <c r="L333" s="10" t="s">
        <v>1897</v>
      </c>
      <c r="M333" s="10" t="s">
        <v>1898</v>
      </c>
      <c r="N333" s="10" t="s">
        <v>1899</v>
      </c>
      <c r="O333" s="11" t="s">
        <v>1900</v>
      </c>
      <c r="Q333" s="8"/>
      <c r="R333" s="8"/>
      <c r="S333" s="8"/>
      <c r="T333" s="8"/>
      <c r="U333" s="8"/>
      <c r="V333" s="8"/>
      <c r="W333" s="8"/>
      <c r="X333" s="8"/>
      <c r="Y333" s="13">
        <v>45583</v>
      </c>
      <c r="Z333" s="8" t="s">
        <v>228</v>
      </c>
      <c r="AA333" s="14" t="s">
        <v>1901</v>
      </c>
      <c r="AB333" s="15" t="s">
        <v>1902</v>
      </c>
      <c r="AD333">
        <f t="shared" si="5"/>
        <v>1</v>
      </c>
    </row>
    <row r="334" spans="1:30" ht="13" customHeight="1" x14ac:dyDescent="0.35">
      <c r="A334" s="7" t="s">
        <v>32</v>
      </c>
      <c r="B334" s="8" t="s">
        <v>48</v>
      </c>
      <c r="C334" s="8"/>
      <c r="D334" s="8" t="s">
        <v>49</v>
      </c>
      <c r="E334" s="49" t="s">
        <v>1895</v>
      </c>
      <c r="F334" s="9" t="s">
        <v>235</v>
      </c>
      <c r="G334" s="8" t="s">
        <v>1903</v>
      </c>
      <c r="H334" s="10" t="s">
        <v>440</v>
      </c>
      <c r="I334" s="38" t="s">
        <v>1904</v>
      </c>
      <c r="J334" s="38" t="s">
        <v>54</v>
      </c>
      <c r="K334" s="8" t="s">
        <v>40</v>
      </c>
      <c r="L334" s="41" t="s">
        <v>1905</v>
      </c>
      <c r="M334" s="41" t="s">
        <v>777</v>
      </c>
      <c r="N334" s="41" t="s">
        <v>1899</v>
      </c>
      <c r="O334" s="50" t="s">
        <v>1906</v>
      </c>
      <c r="P334" s="38" t="s">
        <v>66</v>
      </c>
      <c r="Q334" s="49" t="s">
        <v>1907</v>
      </c>
      <c r="R334" s="49" t="s">
        <v>118</v>
      </c>
      <c r="S334" s="8"/>
      <c r="T334" s="8"/>
      <c r="X334" s="8"/>
      <c r="Y334" s="13">
        <v>45583</v>
      </c>
      <c r="Z334" s="8" t="s">
        <v>228</v>
      </c>
      <c r="AA334" s="14" t="s">
        <v>1908</v>
      </c>
      <c r="AB334" s="15" t="s">
        <v>1909</v>
      </c>
      <c r="AD334">
        <f t="shared" si="5"/>
        <v>1</v>
      </c>
    </row>
    <row r="335" spans="1:30" ht="13" customHeight="1" x14ac:dyDescent="0.35">
      <c r="A335" s="7" t="s">
        <v>32</v>
      </c>
      <c r="B335" s="8" t="s">
        <v>438</v>
      </c>
      <c r="C335" s="8"/>
      <c r="E335" s="8" t="s">
        <v>1910</v>
      </c>
      <c r="F335" s="9" t="s">
        <v>103</v>
      </c>
      <c r="G335" s="8" t="s">
        <v>36</v>
      </c>
      <c r="H335" s="10" t="s">
        <v>440</v>
      </c>
      <c r="I335" s="8" t="s">
        <v>1911</v>
      </c>
      <c r="K335" s="8" t="s">
        <v>40</v>
      </c>
      <c r="L335" s="10" t="s">
        <v>1897</v>
      </c>
      <c r="M335" s="10" t="s">
        <v>1898</v>
      </c>
      <c r="N335" s="10" t="s">
        <v>1899</v>
      </c>
      <c r="O335" s="11" t="s">
        <v>1912</v>
      </c>
      <c r="Q335" s="8"/>
      <c r="R335" s="8"/>
      <c r="S335" s="8"/>
      <c r="T335" s="8"/>
      <c r="U335" s="8"/>
      <c r="V335" s="8"/>
      <c r="W335" s="8"/>
      <c r="X335" s="8"/>
      <c r="Y335" s="13">
        <v>45583</v>
      </c>
      <c r="Z335" s="8" t="s">
        <v>228</v>
      </c>
      <c r="AA335" s="14" t="s">
        <v>1913</v>
      </c>
      <c r="AB335" s="15" t="s">
        <v>1914</v>
      </c>
      <c r="AD335">
        <f t="shared" si="5"/>
        <v>1</v>
      </c>
    </row>
    <row r="336" spans="1:30" ht="13" customHeight="1" x14ac:dyDescent="0.35">
      <c r="A336" s="7" t="s">
        <v>32</v>
      </c>
      <c r="B336" s="8" t="s">
        <v>70</v>
      </c>
      <c r="C336" s="8"/>
      <c r="D336" s="8" t="s">
        <v>101</v>
      </c>
      <c r="E336" s="29" t="s">
        <v>1915</v>
      </c>
      <c r="F336" s="9" t="s">
        <v>35</v>
      </c>
      <c r="G336" s="8" t="s">
        <v>52</v>
      </c>
      <c r="I336" s="8" t="s">
        <v>1916</v>
      </c>
      <c r="J336" s="8" t="s">
        <v>106</v>
      </c>
      <c r="K336" s="8" t="s">
        <v>55</v>
      </c>
      <c r="L336" s="10"/>
      <c r="M336" s="10"/>
      <c r="N336" s="10"/>
      <c r="S336" s="8"/>
      <c r="T336" s="8"/>
      <c r="W336" s="29" t="s">
        <v>274</v>
      </c>
      <c r="X336" s="8"/>
      <c r="AA336" s="14" t="s">
        <v>1917</v>
      </c>
      <c r="AD336" t="str">
        <f t="shared" si="5"/>
        <v/>
      </c>
    </row>
    <row r="337" spans="1:30" ht="13" customHeight="1" x14ac:dyDescent="0.35">
      <c r="A337" s="7" t="s">
        <v>32</v>
      </c>
      <c r="B337" s="8" t="s">
        <v>438</v>
      </c>
      <c r="C337" s="8"/>
      <c r="E337" s="8" t="s">
        <v>1918</v>
      </c>
      <c r="F337" s="9" t="s">
        <v>103</v>
      </c>
      <c r="G337" s="8" t="s">
        <v>36</v>
      </c>
      <c r="H337" s="10" t="s">
        <v>440</v>
      </c>
      <c r="I337" s="8" t="s">
        <v>1919</v>
      </c>
      <c r="K337" s="8" t="s">
        <v>40</v>
      </c>
      <c r="L337" s="11" t="s">
        <v>1920</v>
      </c>
      <c r="M337" s="11" t="s">
        <v>1921</v>
      </c>
      <c r="N337" s="11" t="s">
        <v>1922</v>
      </c>
      <c r="O337" s="11" t="s">
        <v>1923</v>
      </c>
      <c r="Q337" s="8"/>
      <c r="R337" s="8"/>
      <c r="S337" s="8"/>
      <c r="T337" s="8"/>
      <c r="U337" s="8"/>
      <c r="V337" s="8"/>
      <c r="W337" s="8"/>
      <c r="X337" s="8"/>
      <c r="Y337" s="13">
        <v>45689</v>
      </c>
      <c r="Z337" s="8" t="s">
        <v>228</v>
      </c>
      <c r="AA337" s="14" t="s">
        <v>1924</v>
      </c>
      <c r="AB337" s="15" t="s">
        <v>1328</v>
      </c>
      <c r="AD337">
        <f t="shared" si="5"/>
        <v>3</v>
      </c>
    </row>
    <row r="338" spans="1:30" ht="13" customHeight="1" x14ac:dyDescent="0.35">
      <c r="A338" s="7" t="s">
        <v>32</v>
      </c>
      <c r="B338" s="8" t="s">
        <v>438</v>
      </c>
      <c r="C338" s="8"/>
      <c r="E338" s="8" t="s">
        <v>1925</v>
      </c>
      <c r="F338" s="9" t="s">
        <v>103</v>
      </c>
      <c r="G338" s="8" t="s">
        <v>36</v>
      </c>
      <c r="H338" s="10" t="s">
        <v>440</v>
      </c>
      <c r="I338" s="8" t="s">
        <v>1926</v>
      </c>
      <c r="K338" s="8" t="s">
        <v>40</v>
      </c>
      <c r="L338" s="11" t="s">
        <v>1920</v>
      </c>
      <c r="M338" s="11" t="s">
        <v>1921</v>
      </c>
      <c r="N338" s="11" t="s">
        <v>1922</v>
      </c>
      <c r="O338" s="11" t="s">
        <v>1927</v>
      </c>
      <c r="Q338" s="8"/>
      <c r="R338" s="8"/>
      <c r="S338" s="8"/>
      <c r="T338" s="8"/>
      <c r="U338" s="8"/>
      <c r="V338" s="8"/>
      <c r="W338" s="8"/>
      <c r="X338" s="8"/>
      <c r="Y338" s="13">
        <v>45689</v>
      </c>
      <c r="Z338" s="8" t="s">
        <v>228</v>
      </c>
      <c r="AA338" s="14" t="s">
        <v>1928</v>
      </c>
      <c r="AB338" s="15" t="s">
        <v>1929</v>
      </c>
      <c r="AD338">
        <f t="shared" si="5"/>
        <v>3</v>
      </c>
    </row>
    <row r="339" spans="1:30" ht="13" customHeight="1" x14ac:dyDescent="0.35">
      <c r="A339" s="7" t="s">
        <v>32</v>
      </c>
      <c r="B339" s="8" t="s">
        <v>33</v>
      </c>
      <c r="C339" s="8"/>
      <c r="E339" s="49" t="s">
        <v>1930</v>
      </c>
      <c r="F339" s="9" t="s">
        <v>103</v>
      </c>
      <c r="G339" s="8" t="s">
        <v>36</v>
      </c>
      <c r="H339" s="10" t="s">
        <v>193</v>
      </c>
      <c r="I339" s="38" t="s">
        <v>1931</v>
      </c>
      <c r="J339" s="38"/>
      <c r="K339" s="8" t="s">
        <v>40</v>
      </c>
      <c r="L339" s="41" t="s">
        <v>577</v>
      </c>
      <c r="M339" s="41" t="s">
        <v>1890</v>
      </c>
      <c r="N339" s="41" t="s">
        <v>1891</v>
      </c>
      <c r="O339" s="50" t="s">
        <v>1892</v>
      </c>
      <c r="P339" s="38" t="s">
        <v>58</v>
      </c>
      <c r="Q339" s="87" t="s">
        <v>820</v>
      </c>
      <c r="R339" s="49"/>
      <c r="S339" s="8"/>
      <c r="T339" s="8"/>
      <c r="X339" s="8"/>
      <c r="Y339" s="13">
        <v>45582</v>
      </c>
      <c r="Z339" s="8" t="s">
        <v>228</v>
      </c>
      <c r="AA339" s="14" t="s">
        <v>1932</v>
      </c>
      <c r="AB339" s="15" t="s">
        <v>1933</v>
      </c>
      <c r="AD339">
        <f t="shared" si="5"/>
        <v>1</v>
      </c>
    </row>
    <row r="340" spans="1:30" ht="13" customHeight="1" x14ac:dyDescent="0.35">
      <c r="A340" s="88" t="s">
        <v>32</v>
      </c>
      <c r="B340" s="89" t="s">
        <v>33</v>
      </c>
      <c r="C340" s="89"/>
      <c r="D340" s="89"/>
      <c r="E340" s="89" t="s">
        <v>1934</v>
      </c>
      <c r="F340" s="89" t="s">
        <v>103</v>
      </c>
      <c r="G340" s="89" t="s">
        <v>36</v>
      </c>
      <c r="H340" s="90" t="s">
        <v>591</v>
      </c>
      <c r="I340" s="89" t="s">
        <v>1935</v>
      </c>
      <c r="J340" s="89"/>
      <c r="K340" s="89"/>
      <c r="L340" s="90"/>
      <c r="M340" s="90"/>
      <c r="N340" s="90"/>
      <c r="O340" s="92" t="s">
        <v>1936</v>
      </c>
      <c r="P340" s="89"/>
      <c r="Q340" s="89"/>
      <c r="R340" s="89"/>
      <c r="S340" s="89"/>
      <c r="T340" s="89"/>
      <c r="U340" s="89"/>
      <c r="V340" s="89"/>
      <c r="W340" s="89"/>
      <c r="X340" s="89"/>
      <c r="Y340" s="93">
        <v>45583</v>
      </c>
      <c r="Z340" s="89"/>
      <c r="AA340" s="14" t="s">
        <v>1937</v>
      </c>
      <c r="AD340" t="str">
        <f t="shared" si="5"/>
        <v/>
      </c>
    </row>
    <row r="341" spans="1:30" ht="13" customHeight="1" x14ac:dyDescent="0.35">
      <c r="A341" s="88" t="s">
        <v>32</v>
      </c>
      <c r="B341" s="89" t="s">
        <v>33</v>
      </c>
      <c r="C341" s="89"/>
      <c r="D341" s="89"/>
      <c r="E341" s="89" t="s">
        <v>1934</v>
      </c>
      <c r="F341" s="89" t="s">
        <v>103</v>
      </c>
      <c r="G341" s="89" t="s">
        <v>36</v>
      </c>
      <c r="H341" s="90" t="s">
        <v>591</v>
      </c>
      <c r="I341" s="89" t="s">
        <v>1938</v>
      </c>
      <c r="J341" s="89"/>
      <c r="K341" s="89"/>
      <c r="L341" s="91" t="s">
        <v>1939</v>
      </c>
      <c r="M341" s="90"/>
      <c r="N341" s="90"/>
      <c r="O341" s="92" t="s">
        <v>1936</v>
      </c>
      <c r="P341" s="89"/>
      <c r="Q341" s="89"/>
      <c r="R341" s="89"/>
      <c r="S341" s="89"/>
      <c r="T341" s="89"/>
      <c r="U341" s="89"/>
      <c r="V341" s="89"/>
      <c r="W341" s="89"/>
      <c r="X341" s="89"/>
      <c r="Y341" s="93">
        <v>45583</v>
      </c>
      <c r="Z341" s="89"/>
      <c r="AA341" s="14" t="s">
        <v>1940</v>
      </c>
      <c r="AD341" t="str">
        <f t="shared" si="5"/>
        <v/>
      </c>
    </row>
    <row r="342" spans="1:30" ht="13" customHeight="1" x14ac:dyDescent="0.35">
      <c r="A342" s="7" t="s">
        <v>69</v>
      </c>
      <c r="B342" s="8" t="s">
        <v>33</v>
      </c>
      <c r="C342" s="8" t="s">
        <v>799</v>
      </c>
      <c r="E342" s="29" t="s">
        <v>1728</v>
      </c>
      <c r="F342" s="9" t="s">
        <v>548</v>
      </c>
      <c r="I342" s="8"/>
      <c r="L342" s="11"/>
      <c r="M342" s="11"/>
      <c r="N342" s="11"/>
      <c r="S342" s="8"/>
      <c r="T342" s="8"/>
      <c r="X342" s="8"/>
      <c r="AA342" s="14" t="s">
        <v>1941</v>
      </c>
      <c r="AB342" s="15"/>
      <c r="AD342" t="str">
        <f t="shared" si="5"/>
        <v/>
      </c>
    </row>
    <row r="343" spans="1:30" ht="13" customHeight="1" x14ac:dyDescent="0.35">
      <c r="A343" s="7" t="s">
        <v>32</v>
      </c>
      <c r="B343" s="8" t="s">
        <v>33</v>
      </c>
      <c r="C343" s="8"/>
      <c r="E343" s="8" t="s">
        <v>1942</v>
      </c>
      <c r="F343" s="8" t="s">
        <v>103</v>
      </c>
      <c r="G343" s="8" t="s">
        <v>36</v>
      </c>
      <c r="H343" s="10" t="s">
        <v>193</v>
      </c>
      <c r="I343" s="8" t="s">
        <v>1943</v>
      </c>
      <c r="K343" s="8" t="s">
        <v>40</v>
      </c>
      <c r="L343" s="56" t="s">
        <v>1944</v>
      </c>
      <c r="M343" s="57" t="s">
        <v>1945</v>
      </c>
      <c r="N343" s="112" t="s">
        <v>1946</v>
      </c>
      <c r="O343" s="11" t="s">
        <v>1947</v>
      </c>
      <c r="Q343" s="8"/>
      <c r="R343" s="8"/>
      <c r="S343" s="8"/>
      <c r="T343" s="8"/>
      <c r="U343" s="8"/>
      <c r="V343" s="8"/>
      <c r="W343" s="8"/>
      <c r="X343" s="8"/>
      <c r="Y343" s="13">
        <v>45583</v>
      </c>
      <c r="Z343" s="8" t="s">
        <v>228</v>
      </c>
      <c r="AA343" s="14" t="s">
        <v>1948</v>
      </c>
      <c r="AB343" s="15" t="s">
        <v>1949</v>
      </c>
      <c r="AD343">
        <f t="shared" si="5"/>
        <v>2</v>
      </c>
    </row>
    <row r="344" spans="1:30" ht="13" customHeight="1" x14ac:dyDescent="0.35">
      <c r="A344" s="7" t="s">
        <v>32</v>
      </c>
      <c r="B344" s="8" t="s">
        <v>33</v>
      </c>
      <c r="C344" s="8"/>
      <c r="E344" s="8" t="s">
        <v>1950</v>
      </c>
      <c r="F344" s="8" t="s">
        <v>103</v>
      </c>
      <c r="G344" s="8" t="s">
        <v>36</v>
      </c>
      <c r="H344" s="10" t="s">
        <v>193</v>
      </c>
      <c r="I344" s="8" t="s">
        <v>1951</v>
      </c>
      <c r="K344" s="8" t="s">
        <v>40</v>
      </c>
      <c r="L344" s="56" t="s">
        <v>1944</v>
      </c>
      <c r="M344" s="57" t="s">
        <v>1945</v>
      </c>
      <c r="N344" s="112" t="s">
        <v>1946</v>
      </c>
      <c r="O344" s="11" t="s">
        <v>1947</v>
      </c>
      <c r="Q344" s="8"/>
      <c r="R344" s="8"/>
      <c r="S344" s="8"/>
      <c r="T344" s="8"/>
      <c r="U344" s="8"/>
      <c r="V344" s="8"/>
      <c r="W344" s="8"/>
      <c r="X344" s="8"/>
      <c r="Y344" s="13">
        <v>45583</v>
      </c>
      <c r="Z344" s="8" t="s">
        <v>228</v>
      </c>
      <c r="AA344" s="14" t="s">
        <v>1952</v>
      </c>
      <c r="AB344" s="15" t="s">
        <v>1953</v>
      </c>
      <c r="AD344">
        <f t="shared" si="5"/>
        <v>2</v>
      </c>
    </row>
    <row r="345" spans="1:30" ht="13" customHeight="1" x14ac:dyDescent="0.35">
      <c r="A345" s="7" t="s">
        <v>32</v>
      </c>
      <c r="B345" s="8" t="s">
        <v>33</v>
      </c>
      <c r="C345" s="8"/>
      <c r="E345" s="8" t="s">
        <v>1950</v>
      </c>
      <c r="F345" s="8" t="s">
        <v>103</v>
      </c>
      <c r="G345" s="8" t="s">
        <v>36</v>
      </c>
      <c r="H345" s="10" t="s">
        <v>193</v>
      </c>
      <c r="I345" s="8" t="s">
        <v>1954</v>
      </c>
      <c r="K345" s="8" t="s">
        <v>40</v>
      </c>
      <c r="L345" s="56" t="s">
        <v>1944</v>
      </c>
      <c r="M345" s="57" t="s">
        <v>1945</v>
      </c>
      <c r="N345" s="112" t="s">
        <v>1946</v>
      </c>
      <c r="O345" s="11" t="s">
        <v>1947</v>
      </c>
      <c r="Q345" s="8"/>
      <c r="R345" s="8"/>
      <c r="S345" s="8"/>
      <c r="T345" s="8"/>
      <c r="U345" s="8"/>
      <c r="V345" s="8"/>
      <c r="W345" s="8"/>
      <c r="X345" s="8"/>
      <c r="Y345" s="13">
        <v>45583</v>
      </c>
      <c r="Z345" s="8" t="s">
        <v>228</v>
      </c>
      <c r="AA345" s="14" t="s">
        <v>1955</v>
      </c>
      <c r="AB345" s="15" t="s">
        <v>1956</v>
      </c>
      <c r="AD345">
        <f t="shared" si="5"/>
        <v>2</v>
      </c>
    </row>
    <row r="346" spans="1:30" ht="13" customHeight="1" x14ac:dyDescent="0.35">
      <c r="A346" s="7" t="s">
        <v>32</v>
      </c>
      <c r="B346" s="8" t="s">
        <v>33</v>
      </c>
      <c r="C346" s="8"/>
      <c r="E346" s="8" t="s">
        <v>1950</v>
      </c>
      <c r="F346" s="8" t="s">
        <v>103</v>
      </c>
      <c r="G346" s="8" t="s">
        <v>36</v>
      </c>
      <c r="H346" s="10" t="s">
        <v>193</v>
      </c>
      <c r="I346" s="8" t="s">
        <v>1957</v>
      </c>
      <c r="K346" s="8" t="s">
        <v>40</v>
      </c>
      <c r="L346" s="56" t="s">
        <v>1944</v>
      </c>
      <c r="M346" s="57" t="s">
        <v>1945</v>
      </c>
      <c r="N346" s="112" t="s">
        <v>1946</v>
      </c>
      <c r="O346" s="11" t="s">
        <v>1947</v>
      </c>
      <c r="Q346" s="8"/>
      <c r="R346" s="8"/>
      <c r="S346" s="8"/>
      <c r="T346" s="8"/>
      <c r="U346" s="8"/>
      <c r="V346" s="8"/>
      <c r="W346" s="8"/>
      <c r="X346" s="8"/>
      <c r="Y346" s="13">
        <v>45583</v>
      </c>
      <c r="Z346" s="8" t="s">
        <v>228</v>
      </c>
      <c r="AA346" s="14" t="s">
        <v>1958</v>
      </c>
      <c r="AB346" s="15" t="s">
        <v>1959</v>
      </c>
      <c r="AD346">
        <f t="shared" si="5"/>
        <v>2</v>
      </c>
    </row>
    <row r="347" spans="1:30" ht="13" customHeight="1" x14ac:dyDescent="0.35">
      <c r="A347" s="7" t="s">
        <v>32</v>
      </c>
      <c r="B347" s="8" t="s">
        <v>48</v>
      </c>
      <c r="C347" s="8"/>
      <c r="D347" s="8" t="s">
        <v>49</v>
      </c>
      <c r="E347" s="29" t="s">
        <v>1960</v>
      </c>
      <c r="F347" s="9" t="s">
        <v>235</v>
      </c>
      <c r="G347" s="8" t="s">
        <v>174</v>
      </c>
      <c r="I347" s="8" t="s">
        <v>1961</v>
      </c>
      <c r="J347" s="8" t="s">
        <v>54</v>
      </c>
      <c r="K347" s="8" t="s">
        <v>55</v>
      </c>
      <c r="L347" s="48" t="s">
        <v>350</v>
      </c>
      <c r="M347" s="11" t="s">
        <v>351</v>
      </c>
      <c r="N347" s="11"/>
      <c r="O347" s="31" t="s">
        <v>1962</v>
      </c>
      <c r="P347" s="8" t="s">
        <v>66</v>
      </c>
      <c r="Q347" s="29" t="s">
        <v>67</v>
      </c>
      <c r="R347" s="29" t="s">
        <v>118</v>
      </c>
      <c r="S347" s="8"/>
      <c r="T347" s="8"/>
      <c r="W347" s="29" t="s">
        <v>274</v>
      </c>
      <c r="X347" s="8"/>
      <c r="AA347" s="14" t="s">
        <v>1963</v>
      </c>
      <c r="AB347" s="15"/>
      <c r="AD347">
        <f t="shared" si="5"/>
        <v>1</v>
      </c>
    </row>
    <row r="348" spans="1:30" ht="13" customHeight="1" x14ac:dyDescent="0.35">
      <c r="A348" s="88" t="s">
        <v>32</v>
      </c>
      <c r="B348" s="89" t="s">
        <v>33</v>
      </c>
      <c r="C348" s="89"/>
      <c r="D348" s="89"/>
      <c r="E348" s="89" t="s">
        <v>1964</v>
      </c>
      <c r="F348" s="89" t="s">
        <v>103</v>
      </c>
      <c r="G348" s="89" t="s">
        <v>36</v>
      </c>
      <c r="H348" s="90" t="s">
        <v>591</v>
      </c>
      <c r="I348" s="89" t="s">
        <v>1965</v>
      </c>
      <c r="J348" s="89"/>
      <c r="K348" s="89"/>
      <c r="L348" s="91" t="s">
        <v>1966</v>
      </c>
      <c r="M348" s="90"/>
      <c r="N348" s="90"/>
      <c r="O348" s="92" t="s">
        <v>1967</v>
      </c>
      <c r="P348" s="89"/>
      <c r="Q348" s="89"/>
      <c r="R348" s="89"/>
      <c r="S348" s="89"/>
      <c r="T348" s="89"/>
      <c r="U348" s="89"/>
      <c r="V348" s="89"/>
      <c r="W348" s="89"/>
      <c r="X348" s="89"/>
      <c r="Y348" s="93">
        <v>45558</v>
      </c>
      <c r="Z348" s="89" t="s">
        <v>228</v>
      </c>
      <c r="AA348" s="14" t="s">
        <v>1968</v>
      </c>
      <c r="AD348" t="str">
        <f t="shared" si="5"/>
        <v/>
      </c>
    </row>
    <row r="349" spans="1:30" ht="13" customHeight="1" x14ac:dyDescent="0.35">
      <c r="A349" s="7" t="s">
        <v>32</v>
      </c>
      <c r="B349" s="8" t="s">
        <v>48</v>
      </c>
      <c r="C349" s="8"/>
      <c r="D349" s="8" t="s">
        <v>172</v>
      </c>
      <c r="E349" s="29" t="s">
        <v>1969</v>
      </c>
      <c r="F349" s="9" t="s">
        <v>51</v>
      </c>
      <c r="G349" s="8" t="s">
        <v>52</v>
      </c>
      <c r="I349" s="8" t="s">
        <v>1970</v>
      </c>
      <c r="J349" s="8" t="s">
        <v>176</v>
      </c>
      <c r="K349" s="8" t="s">
        <v>55</v>
      </c>
      <c r="L349" s="36" t="s">
        <v>1971</v>
      </c>
      <c r="M349" s="11"/>
      <c r="N349" s="11"/>
      <c r="O349" s="31" t="s">
        <v>1972</v>
      </c>
      <c r="P349" s="8" t="s">
        <v>66</v>
      </c>
      <c r="Q349" s="29" t="s">
        <v>1973</v>
      </c>
      <c r="R349" s="29" t="s">
        <v>118</v>
      </c>
      <c r="S349" s="8"/>
      <c r="T349" s="8"/>
      <c r="W349" s="29" t="s">
        <v>274</v>
      </c>
      <c r="X349" s="8"/>
      <c r="AA349" s="14" t="s">
        <v>1974</v>
      </c>
      <c r="AB349" s="15"/>
      <c r="AD349" t="str">
        <f t="shared" si="5"/>
        <v/>
      </c>
    </row>
    <row r="350" spans="1:30" ht="13" customHeight="1" x14ac:dyDescent="0.35">
      <c r="A350" s="88" t="s">
        <v>32</v>
      </c>
      <c r="B350" s="89" t="s">
        <v>33</v>
      </c>
      <c r="C350" s="89"/>
      <c r="D350" s="89"/>
      <c r="E350" s="89" t="s">
        <v>1975</v>
      </c>
      <c r="F350" s="89" t="s">
        <v>103</v>
      </c>
      <c r="G350" s="89" t="s">
        <v>36</v>
      </c>
      <c r="H350" s="90" t="s">
        <v>591</v>
      </c>
      <c r="I350" s="89" t="s">
        <v>1976</v>
      </c>
      <c r="J350" s="89"/>
      <c r="K350" s="89"/>
      <c r="L350" s="91" t="s">
        <v>1977</v>
      </c>
      <c r="M350" s="90"/>
      <c r="N350" s="90"/>
      <c r="O350" s="92" t="s">
        <v>1978</v>
      </c>
      <c r="P350" s="89"/>
      <c r="Q350" s="89"/>
      <c r="R350" s="89"/>
      <c r="S350" s="89"/>
      <c r="T350" s="89"/>
      <c r="U350" s="89"/>
      <c r="V350" s="89"/>
      <c r="W350" s="89"/>
      <c r="X350" s="89"/>
      <c r="Y350" s="93">
        <v>45595</v>
      </c>
      <c r="Z350" s="89" t="s">
        <v>228</v>
      </c>
      <c r="AA350" s="14" t="s">
        <v>1979</v>
      </c>
      <c r="AD350" t="str">
        <f t="shared" si="5"/>
        <v/>
      </c>
    </row>
    <row r="351" spans="1:30" ht="15" customHeight="1" x14ac:dyDescent="0.35">
      <c r="A351" s="88" t="s">
        <v>32</v>
      </c>
      <c r="B351" s="89" t="s">
        <v>33</v>
      </c>
      <c r="C351" s="89"/>
      <c r="D351" s="89"/>
      <c r="E351" s="89" t="s">
        <v>1980</v>
      </c>
      <c r="F351" s="89" t="s">
        <v>103</v>
      </c>
      <c r="G351" s="89" t="s">
        <v>36</v>
      </c>
      <c r="H351" s="90" t="s">
        <v>591</v>
      </c>
      <c r="I351" s="89" t="s">
        <v>1981</v>
      </c>
      <c r="J351" s="89"/>
      <c r="K351" s="89"/>
      <c r="L351" s="90"/>
      <c r="M351" s="90"/>
      <c r="N351" s="90"/>
      <c r="O351" s="92"/>
      <c r="P351" s="89"/>
      <c r="Q351" s="89"/>
      <c r="R351" s="89"/>
      <c r="S351" s="89"/>
      <c r="T351" s="89"/>
      <c r="U351" s="89"/>
      <c r="V351" s="89"/>
      <c r="W351" s="89"/>
      <c r="X351" s="89"/>
      <c r="Y351" s="93">
        <v>45595</v>
      </c>
      <c r="Z351" s="89" t="s">
        <v>228</v>
      </c>
      <c r="AA351" s="14" t="s">
        <v>1982</v>
      </c>
      <c r="AD351" t="str">
        <f t="shared" si="5"/>
        <v/>
      </c>
    </row>
    <row r="352" spans="1:30" ht="13" customHeight="1" x14ac:dyDescent="0.35">
      <c r="A352" s="7" t="s">
        <v>32</v>
      </c>
      <c r="B352" s="8" t="s">
        <v>48</v>
      </c>
      <c r="C352" s="8"/>
      <c r="D352" s="8" t="s">
        <v>172</v>
      </c>
      <c r="E352" s="29" t="s">
        <v>1983</v>
      </c>
      <c r="F352" s="9" t="s">
        <v>235</v>
      </c>
      <c r="G352" s="8" t="s">
        <v>52</v>
      </c>
      <c r="I352" s="8" t="s">
        <v>1984</v>
      </c>
      <c r="J352" s="8" t="s">
        <v>176</v>
      </c>
      <c r="K352" s="8" t="s">
        <v>132</v>
      </c>
      <c r="L352" s="48" t="s">
        <v>1985</v>
      </c>
      <c r="M352" s="11" t="s">
        <v>1827</v>
      </c>
      <c r="N352" s="11"/>
      <c r="O352" s="31" t="s">
        <v>1986</v>
      </c>
      <c r="P352" s="8" t="s">
        <v>142</v>
      </c>
      <c r="Q352" s="29" t="s">
        <v>67</v>
      </c>
      <c r="R352" s="29" t="s">
        <v>118</v>
      </c>
      <c r="S352" s="8"/>
      <c r="T352" s="8"/>
      <c r="W352" s="29" t="s">
        <v>274</v>
      </c>
      <c r="X352" s="8"/>
      <c r="AA352" s="14" t="s">
        <v>1987</v>
      </c>
      <c r="AB352" s="15"/>
      <c r="AD352">
        <f t="shared" si="5"/>
        <v>1</v>
      </c>
    </row>
    <row r="353" spans="1:30" ht="13" customHeight="1" x14ac:dyDescent="0.35">
      <c r="A353" s="7" t="s">
        <v>32</v>
      </c>
      <c r="B353" s="8" t="s">
        <v>48</v>
      </c>
      <c r="C353" s="8"/>
      <c r="D353" s="8" t="s">
        <v>172</v>
      </c>
      <c r="E353" s="29" t="s">
        <v>1988</v>
      </c>
      <c r="F353" s="9" t="s">
        <v>35</v>
      </c>
      <c r="G353" s="8" t="s">
        <v>52</v>
      </c>
      <c r="I353" s="8" t="s">
        <v>1989</v>
      </c>
      <c r="J353" s="8" t="s">
        <v>176</v>
      </c>
      <c r="K353" s="8" t="s">
        <v>55</v>
      </c>
      <c r="L353" s="11" t="s">
        <v>1990</v>
      </c>
      <c r="M353" s="11"/>
      <c r="N353" s="11"/>
      <c r="P353" s="8" t="s">
        <v>66</v>
      </c>
      <c r="Q353" s="29" t="s">
        <v>1991</v>
      </c>
      <c r="R353" s="29" t="s">
        <v>60</v>
      </c>
      <c r="S353" s="8"/>
      <c r="T353" s="8"/>
      <c r="W353" s="29" t="s">
        <v>274</v>
      </c>
      <c r="X353" s="8"/>
      <c r="AA353" s="14" t="s">
        <v>1992</v>
      </c>
      <c r="AB353" s="15" t="s">
        <v>1993</v>
      </c>
      <c r="AD353" t="str">
        <f t="shared" si="5"/>
        <v/>
      </c>
    </row>
    <row r="354" spans="1:30" ht="13" customHeight="1" x14ac:dyDescent="0.35">
      <c r="A354" s="7" t="s">
        <v>32</v>
      </c>
      <c r="B354" s="8" t="s">
        <v>70</v>
      </c>
      <c r="C354" s="8"/>
      <c r="D354" s="8" t="s">
        <v>101</v>
      </c>
      <c r="E354" s="29" t="s">
        <v>1994</v>
      </c>
      <c r="F354" s="9" t="s">
        <v>35</v>
      </c>
      <c r="G354" s="8" t="s">
        <v>174</v>
      </c>
      <c r="I354" s="8" t="s">
        <v>1995</v>
      </c>
      <c r="J354" s="8" t="s">
        <v>106</v>
      </c>
      <c r="K354" s="8" t="s">
        <v>132</v>
      </c>
      <c r="L354" s="10"/>
      <c r="M354" s="10"/>
      <c r="N354" s="10"/>
      <c r="S354" s="8"/>
      <c r="T354" s="8"/>
      <c r="W354" s="29" t="s">
        <v>274</v>
      </c>
      <c r="X354" s="8"/>
      <c r="AA354" s="14" t="s">
        <v>1996</v>
      </c>
      <c r="AD354" t="str">
        <f t="shared" si="5"/>
        <v/>
      </c>
    </row>
    <row r="355" spans="1:30" ht="13" customHeight="1" x14ac:dyDescent="0.35">
      <c r="A355" s="7" t="s">
        <v>32</v>
      </c>
      <c r="B355" s="8" t="s">
        <v>33</v>
      </c>
      <c r="C355" s="8"/>
      <c r="E355" s="8" t="s">
        <v>1997</v>
      </c>
      <c r="F355" s="9" t="s">
        <v>103</v>
      </c>
      <c r="G355" s="8" t="s">
        <v>36</v>
      </c>
      <c r="H355" s="10" t="s">
        <v>795</v>
      </c>
      <c r="I355" s="8" t="s">
        <v>1998</v>
      </c>
      <c r="L355" s="79" t="s">
        <v>1999</v>
      </c>
      <c r="M355" s="72" t="s">
        <v>434</v>
      </c>
      <c r="N355" s="11" t="s">
        <v>435</v>
      </c>
      <c r="O355" s="11" t="s">
        <v>2000</v>
      </c>
      <c r="Q355" s="8"/>
      <c r="R355" s="8"/>
      <c r="S355" s="8"/>
      <c r="T355" s="8"/>
      <c r="U355" s="8"/>
      <c r="V355" s="8"/>
      <c r="W355" s="8"/>
      <c r="X355" s="8"/>
      <c r="Y355" s="13">
        <v>45622</v>
      </c>
      <c r="AA355" s="14" t="s">
        <v>2001</v>
      </c>
      <c r="AD355">
        <f t="shared" si="5"/>
        <v>1</v>
      </c>
    </row>
    <row r="356" spans="1:30" ht="13" customHeight="1" x14ac:dyDescent="0.35">
      <c r="A356" s="7" t="s">
        <v>32</v>
      </c>
      <c r="B356" s="8" t="s">
        <v>33</v>
      </c>
      <c r="C356" s="8"/>
      <c r="E356" s="8" t="s">
        <v>2002</v>
      </c>
      <c r="F356" s="9" t="s">
        <v>103</v>
      </c>
      <c r="G356" s="8" t="s">
        <v>36</v>
      </c>
      <c r="H356" s="10" t="s">
        <v>591</v>
      </c>
      <c r="I356" s="8" t="s">
        <v>2003</v>
      </c>
      <c r="J356" s="8" t="s">
        <v>1268</v>
      </c>
      <c r="L356" s="79" t="s">
        <v>2004</v>
      </c>
      <c r="M356" s="57" t="s">
        <v>2005</v>
      </c>
      <c r="N356" s="11" t="s">
        <v>1394</v>
      </c>
      <c r="O356" s="11" t="s">
        <v>2006</v>
      </c>
      <c r="Q356" s="8"/>
      <c r="R356" s="8"/>
      <c r="S356" s="8"/>
      <c r="T356" s="8"/>
      <c r="U356" s="8"/>
      <c r="V356" s="8"/>
      <c r="W356" s="8"/>
      <c r="X356" s="8"/>
      <c r="Y356" s="13">
        <v>45550</v>
      </c>
      <c r="AA356" s="14" t="s">
        <v>2007</v>
      </c>
      <c r="AB356" s="12" t="s">
        <v>2008</v>
      </c>
      <c r="AD356">
        <f t="shared" si="5"/>
        <v>2</v>
      </c>
    </row>
    <row r="357" spans="1:30" ht="13" customHeight="1" x14ac:dyDescent="0.35">
      <c r="A357" s="7" t="s">
        <v>32</v>
      </c>
      <c r="B357" s="8" t="s">
        <v>33</v>
      </c>
      <c r="C357" s="8"/>
      <c r="E357" s="8" t="s">
        <v>2009</v>
      </c>
      <c r="F357" s="9" t="s">
        <v>103</v>
      </c>
      <c r="G357" s="8" t="s">
        <v>36</v>
      </c>
      <c r="H357" s="10" t="s">
        <v>591</v>
      </c>
      <c r="I357" s="8" t="s">
        <v>2010</v>
      </c>
      <c r="J357" s="8" t="s">
        <v>1268</v>
      </c>
      <c r="L357" s="79" t="s">
        <v>2004</v>
      </c>
      <c r="M357" s="57" t="s">
        <v>2005</v>
      </c>
      <c r="N357" s="11" t="s">
        <v>1394</v>
      </c>
      <c r="O357" s="11" t="s">
        <v>2006</v>
      </c>
      <c r="Q357" s="8"/>
      <c r="R357" s="8"/>
      <c r="S357" s="8"/>
      <c r="T357" s="8"/>
      <c r="U357" s="8"/>
      <c r="V357" s="8"/>
      <c r="W357" s="8"/>
      <c r="X357" s="8"/>
      <c r="Y357" s="13">
        <v>45550</v>
      </c>
      <c r="AA357" s="14" t="s">
        <v>2011</v>
      </c>
      <c r="AB357" s="12" t="s">
        <v>2008</v>
      </c>
      <c r="AD357">
        <f t="shared" si="5"/>
        <v>2</v>
      </c>
    </row>
    <row r="358" spans="1:30" ht="13" customHeight="1" x14ac:dyDescent="0.35">
      <c r="A358" s="7" t="s">
        <v>32</v>
      </c>
      <c r="B358" s="8" t="s">
        <v>33</v>
      </c>
      <c r="C358" s="8"/>
      <c r="E358" s="8" t="s">
        <v>2012</v>
      </c>
      <c r="F358" s="9" t="s">
        <v>103</v>
      </c>
      <c r="G358" s="8" t="s">
        <v>36</v>
      </c>
      <c r="H358" s="10" t="s">
        <v>591</v>
      </c>
      <c r="I358" s="8" t="s">
        <v>2013</v>
      </c>
      <c r="J358" s="8" t="s">
        <v>815</v>
      </c>
      <c r="L358" s="56" t="s">
        <v>665</v>
      </c>
      <c r="M358" s="57" t="s">
        <v>666</v>
      </c>
      <c r="N358" s="11"/>
      <c r="O358" s="11" t="s">
        <v>667</v>
      </c>
      <c r="Q358" s="8"/>
      <c r="R358" s="8"/>
      <c r="S358" s="8"/>
      <c r="T358" s="8"/>
      <c r="U358" s="8"/>
      <c r="V358" s="8"/>
      <c r="W358" s="8"/>
      <c r="X358" s="8"/>
      <c r="Y358" s="13">
        <v>45588</v>
      </c>
      <c r="Z358" s="8" t="s">
        <v>668</v>
      </c>
      <c r="AA358" s="14" t="s">
        <v>2014</v>
      </c>
      <c r="AB358" s="12" t="s">
        <v>2015</v>
      </c>
      <c r="AD358">
        <f t="shared" si="5"/>
        <v>3</v>
      </c>
    </row>
    <row r="359" spans="1:30" ht="13" customHeight="1" x14ac:dyDescent="0.35">
      <c r="A359" s="7" t="s">
        <v>32</v>
      </c>
      <c r="B359" s="8" t="s">
        <v>48</v>
      </c>
      <c r="C359" s="8"/>
      <c r="D359" s="8" t="s">
        <v>172</v>
      </c>
      <c r="E359" s="29" t="s">
        <v>2016</v>
      </c>
      <c r="F359" s="9" t="s">
        <v>103</v>
      </c>
      <c r="G359" s="8" t="s">
        <v>2017</v>
      </c>
      <c r="I359" s="8" t="s">
        <v>2018</v>
      </c>
      <c r="J359" s="8" t="s">
        <v>176</v>
      </c>
      <c r="L359" s="11" t="s">
        <v>2019</v>
      </c>
      <c r="M359" s="11"/>
      <c r="N359" s="11"/>
      <c r="O359" s="31" t="s">
        <v>2020</v>
      </c>
      <c r="P359" s="8" t="s">
        <v>66</v>
      </c>
      <c r="Q359" s="29" t="s">
        <v>2021</v>
      </c>
      <c r="R359" s="29" t="s">
        <v>118</v>
      </c>
      <c r="S359" s="8"/>
      <c r="T359" s="8"/>
      <c r="W359" s="29" t="s">
        <v>274</v>
      </c>
      <c r="X359" s="8"/>
      <c r="AA359" s="14" t="s">
        <v>2022</v>
      </c>
      <c r="AB359" s="15" t="s">
        <v>318</v>
      </c>
      <c r="AD359" t="str">
        <f t="shared" si="5"/>
        <v/>
      </c>
    </row>
    <row r="360" spans="1:30" ht="13" customHeight="1" x14ac:dyDescent="0.35">
      <c r="A360" s="7" t="s">
        <v>32</v>
      </c>
      <c r="B360" s="8" t="s">
        <v>33</v>
      </c>
      <c r="C360" s="8"/>
      <c r="E360" s="8" t="s">
        <v>2023</v>
      </c>
      <c r="F360" s="9" t="s">
        <v>103</v>
      </c>
      <c r="G360" s="8" t="s">
        <v>36</v>
      </c>
      <c r="H360" s="10" t="s">
        <v>591</v>
      </c>
      <c r="I360" s="8" t="s">
        <v>2024</v>
      </c>
      <c r="J360" s="8" t="s">
        <v>815</v>
      </c>
      <c r="L360" s="56" t="s">
        <v>665</v>
      </c>
      <c r="M360" s="57" t="s">
        <v>666</v>
      </c>
      <c r="N360" s="11"/>
      <c r="O360" s="11" t="s">
        <v>667</v>
      </c>
      <c r="Q360" s="8"/>
      <c r="R360" s="8"/>
      <c r="S360" s="8"/>
      <c r="T360" s="8"/>
      <c r="U360" s="8"/>
      <c r="V360" s="8"/>
      <c r="W360" s="8"/>
      <c r="X360" s="8"/>
      <c r="Y360" s="13">
        <v>45588</v>
      </c>
      <c r="Z360" s="8" t="s">
        <v>668</v>
      </c>
      <c r="AA360" s="14" t="s">
        <v>2025</v>
      </c>
      <c r="AB360" s="12" t="s">
        <v>2015</v>
      </c>
      <c r="AD360">
        <f t="shared" si="5"/>
        <v>3</v>
      </c>
    </row>
    <row r="361" spans="1:30" ht="13" customHeight="1" x14ac:dyDescent="0.35">
      <c r="A361" s="7" t="s">
        <v>32</v>
      </c>
      <c r="B361" s="8" t="s">
        <v>33</v>
      </c>
      <c r="C361" s="8"/>
      <c r="E361" s="8" t="s">
        <v>2026</v>
      </c>
      <c r="F361" s="9" t="s">
        <v>103</v>
      </c>
      <c r="G361" s="8" t="s">
        <v>36</v>
      </c>
      <c r="H361" s="10" t="s">
        <v>795</v>
      </c>
      <c r="I361" s="8" t="s">
        <v>2027</v>
      </c>
      <c r="J361" s="8" t="s">
        <v>815</v>
      </c>
      <c r="L361" s="56" t="s">
        <v>665</v>
      </c>
      <c r="M361" s="57" t="s">
        <v>666</v>
      </c>
      <c r="N361" s="11"/>
      <c r="O361" s="11" t="s">
        <v>667</v>
      </c>
      <c r="Q361" s="8"/>
      <c r="R361" s="8"/>
      <c r="S361" s="8"/>
      <c r="T361" s="8"/>
      <c r="U361" s="8"/>
      <c r="V361" s="8"/>
      <c r="W361" s="8"/>
      <c r="X361" s="8"/>
      <c r="Y361" s="13">
        <v>45588</v>
      </c>
      <c r="Z361" s="8" t="s">
        <v>668</v>
      </c>
      <c r="AA361" s="14" t="s">
        <v>2028</v>
      </c>
      <c r="AB361" s="12" t="s">
        <v>2015</v>
      </c>
      <c r="AD361">
        <f t="shared" si="5"/>
        <v>3</v>
      </c>
    </row>
    <row r="362" spans="1:30" ht="13" customHeight="1" x14ac:dyDescent="0.35">
      <c r="A362" s="7" t="s">
        <v>32</v>
      </c>
      <c r="B362" s="8" t="s">
        <v>33</v>
      </c>
      <c r="C362" s="8"/>
      <c r="E362" s="8" t="s">
        <v>2026</v>
      </c>
      <c r="F362" s="9" t="s">
        <v>103</v>
      </c>
      <c r="G362" s="8" t="s">
        <v>36</v>
      </c>
      <c r="H362" s="10" t="s">
        <v>591</v>
      </c>
      <c r="I362" s="8" t="s">
        <v>2029</v>
      </c>
      <c r="J362" s="8" t="s">
        <v>815</v>
      </c>
      <c r="L362" s="56" t="s">
        <v>665</v>
      </c>
      <c r="M362" s="57" t="s">
        <v>666</v>
      </c>
      <c r="N362" s="11"/>
      <c r="O362" s="11" t="s">
        <v>667</v>
      </c>
      <c r="Q362" s="8"/>
      <c r="R362" s="8"/>
      <c r="S362" s="8"/>
      <c r="T362" s="8"/>
      <c r="U362" s="8"/>
      <c r="V362" s="8"/>
      <c r="W362" s="8"/>
      <c r="X362" s="8"/>
      <c r="Y362" s="13">
        <v>45588</v>
      </c>
      <c r="Z362" s="8" t="s">
        <v>668</v>
      </c>
      <c r="AA362" s="14" t="s">
        <v>2030</v>
      </c>
      <c r="AB362" s="12" t="s">
        <v>2015</v>
      </c>
      <c r="AD362">
        <f t="shared" si="5"/>
        <v>3</v>
      </c>
    </row>
    <row r="363" spans="1:30" ht="13" customHeight="1" x14ac:dyDescent="0.35">
      <c r="A363" s="7" t="s">
        <v>32</v>
      </c>
      <c r="B363" s="8" t="s">
        <v>33</v>
      </c>
      <c r="C363" s="8"/>
      <c r="E363" s="8" t="s">
        <v>2031</v>
      </c>
      <c r="F363" s="8" t="s">
        <v>103</v>
      </c>
      <c r="G363" s="8" t="s">
        <v>36</v>
      </c>
      <c r="H363" s="10" t="s">
        <v>591</v>
      </c>
      <c r="I363" s="8" t="s">
        <v>2032</v>
      </c>
      <c r="L363" s="56" t="s">
        <v>2033</v>
      </c>
      <c r="M363" s="57" t="s">
        <v>1649</v>
      </c>
      <c r="N363" s="10" t="s">
        <v>1650</v>
      </c>
      <c r="O363" s="11" t="s">
        <v>2034</v>
      </c>
      <c r="Q363" s="8"/>
      <c r="R363" s="8"/>
      <c r="S363" s="8"/>
      <c r="T363" s="8"/>
      <c r="U363" s="8"/>
      <c r="V363" s="8"/>
      <c r="W363" s="8"/>
      <c r="X363" s="8"/>
      <c r="Y363" s="13">
        <v>45558</v>
      </c>
      <c r="AA363" s="14" t="s">
        <v>2035</v>
      </c>
      <c r="AD363">
        <f t="shared" si="5"/>
        <v>2</v>
      </c>
    </row>
    <row r="364" spans="1:30" ht="13" customHeight="1" x14ac:dyDescent="0.35">
      <c r="A364" s="88" t="s">
        <v>32</v>
      </c>
      <c r="B364" s="89" t="s">
        <v>33</v>
      </c>
      <c r="C364" s="89"/>
      <c r="D364" s="89"/>
      <c r="E364" s="89" t="s">
        <v>2036</v>
      </c>
      <c r="F364" s="89" t="s">
        <v>103</v>
      </c>
      <c r="G364" s="89" t="s">
        <v>36</v>
      </c>
      <c r="H364" s="90" t="s">
        <v>591</v>
      </c>
      <c r="I364" s="89" t="s">
        <v>2037</v>
      </c>
      <c r="J364" s="89"/>
      <c r="K364" s="89"/>
      <c r="L364" s="91" t="s">
        <v>2038</v>
      </c>
      <c r="M364" s="90"/>
      <c r="N364" s="92"/>
      <c r="O364" s="92" t="s">
        <v>2039</v>
      </c>
      <c r="P364" s="89"/>
      <c r="Q364" s="89"/>
      <c r="R364" s="89"/>
      <c r="S364" s="89"/>
      <c r="T364" s="89"/>
      <c r="U364" s="89"/>
      <c r="V364" s="89"/>
      <c r="W364" s="89"/>
      <c r="X364" s="89"/>
      <c r="Y364" s="93">
        <v>45558</v>
      </c>
      <c r="Z364" s="89"/>
      <c r="AA364" s="14" t="s">
        <v>2040</v>
      </c>
      <c r="AD364" t="str">
        <f t="shared" si="5"/>
        <v/>
      </c>
    </row>
    <row r="365" spans="1:30" ht="13" customHeight="1" x14ac:dyDescent="0.35">
      <c r="A365" s="7" t="s">
        <v>32</v>
      </c>
      <c r="B365" s="8" t="s">
        <v>33</v>
      </c>
      <c r="C365" s="8"/>
      <c r="E365" s="8" t="s">
        <v>2041</v>
      </c>
      <c r="F365" s="8" t="s">
        <v>103</v>
      </c>
      <c r="G365" s="8" t="s">
        <v>36</v>
      </c>
      <c r="H365" s="10" t="s">
        <v>193</v>
      </c>
      <c r="I365" s="8" t="s">
        <v>2042</v>
      </c>
      <c r="K365" s="8" t="s">
        <v>40</v>
      </c>
      <c r="L365" s="79" t="s">
        <v>2043</v>
      </c>
      <c r="M365" s="72" t="s">
        <v>2044</v>
      </c>
      <c r="N365" s="57" t="s">
        <v>2045</v>
      </c>
      <c r="O365" s="11"/>
      <c r="Q365" s="8"/>
      <c r="R365" s="8"/>
      <c r="S365" s="8"/>
      <c r="T365" s="8"/>
      <c r="U365" s="8"/>
      <c r="V365" s="8"/>
      <c r="W365" s="8"/>
      <c r="X365" s="8"/>
      <c r="Y365" s="13">
        <v>45583</v>
      </c>
      <c r="Z365" s="8" t="s">
        <v>228</v>
      </c>
      <c r="AA365" s="14" t="s">
        <v>2046</v>
      </c>
      <c r="AB365" s="15" t="s">
        <v>2047</v>
      </c>
      <c r="AD365">
        <f t="shared" si="5"/>
        <v>1</v>
      </c>
    </row>
    <row r="366" spans="1:30" ht="13" customHeight="1" x14ac:dyDescent="0.35">
      <c r="A366" s="88" t="s">
        <v>32</v>
      </c>
      <c r="B366" s="89" t="s">
        <v>33</v>
      </c>
      <c r="C366" s="89"/>
      <c r="D366" s="89"/>
      <c r="E366" s="89" t="s">
        <v>2048</v>
      </c>
      <c r="F366" s="89" t="s">
        <v>103</v>
      </c>
      <c r="G366" s="89" t="s">
        <v>336</v>
      </c>
      <c r="H366" s="90" t="s">
        <v>591</v>
      </c>
      <c r="I366" s="89" t="s">
        <v>2049</v>
      </c>
      <c r="J366" s="89"/>
      <c r="K366" s="89" t="s">
        <v>599</v>
      </c>
      <c r="L366" s="90"/>
      <c r="M366" s="90"/>
      <c r="N366" s="90"/>
      <c r="O366" s="92"/>
      <c r="P366" s="89"/>
      <c r="Q366" s="89"/>
      <c r="R366" s="89"/>
      <c r="S366" s="89"/>
      <c r="T366" s="89"/>
      <c r="U366" s="89"/>
      <c r="V366" s="89"/>
      <c r="W366" s="89"/>
      <c r="X366" s="89"/>
      <c r="Y366" s="93">
        <v>45550</v>
      </c>
      <c r="Z366" s="89"/>
      <c r="AA366" s="14" t="s">
        <v>2050</v>
      </c>
      <c r="AB366" s="15" t="s">
        <v>2051</v>
      </c>
      <c r="AD366" t="str">
        <f t="shared" si="5"/>
        <v/>
      </c>
    </row>
    <row r="367" spans="1:30" ht="13" customHeight="1" x14ac:dyDescent="0.35">
      <c r="A367" s="88" t="s">
        <v>32</v>
      </c>
      <c r="B367" s="89" t="s">
        <v>33</v>
      </c>
      <c r="C367" s="89"/>
      <c r="D367" s="89"/>
      <c r="E367" s="89" t="s">
        <v>2048</v>
      </c>
      <c r="F367" s="89" t="s">
        <v>103</v>
      </c>
      <c r="G367" s="89" t="s">
        <v>336</v>
      </c>
      <c r="H367" s="90" t="s">
        <v>591</v>
      </c>
      <c r="I367" s="89" t="s">
        <v>2052</v>
      </c>
      <c r="J367" s="89"/>
      <c r="K367" s="89" t="s">
        <v>40</v>
      </c>
      <c r="L367" s="90"/>
      <c r="M367" s="90"/>
      <c r="N367" s="90"/>
      <c r="O367" s="92"/>
      <c r="P367" s="89"/>
      <c r="Q367" s="89"/>
      <c r="R367" s="89"/>
      <c r="S367" s="89"/>
      <c r="T367" s="89"/>
      <c r="U367" s="89"/>
      <c r="V367" s="89"/>
      <c r="W367" s="89"/>
      <c r="X367" s="89"/>
      <c r="Y367" s="93">
        <v>45550</v>
      </c>
      <c r="Z367" s="89"/>
      <c r="AA367" s="14" t="s">
        <v>2053</v>
      </c>
      <c r="AB367" s="15" t="s">
        <v>2054</v>
      </c>
      <c r="AD367" t="str">
        <f t="shared" si="5"/>
        <v/>
      </c>
    </row>
    <row r="368" spans="1:30" ht="13" customHeight="1" x14ac:dyDescent="0.35">
      <c r="A368" s="7" t="s">
        <v>32</v>
      </c>
      <c r="B368" s="8" t="s">
        <v>33</v>
      </c>
      <c r="C368" s="8"/>
      <c r="E368" s="8" t="s">
        <v>1140</v>
      </c>
      <c r="F368" s="9" t="s">
        <v>103</v>
      </c>
      <c r="G368" s="8" t="s">
        <v>336</v>
      </c>
      <c r="H368" s="10" t="s">
        <v>685</v>
      </c>
      <c r="I368" s="8" t="s">
        <v>1141</v>
      </c>
      <c r="K368" s="8" t="s">
        <v>1142</v>
      </c>
      <c r="L368" s="10"/>
      <c r="M368" s="10" t="s">
        <v>1143</v>
      </c>
      <c r="N368" s="10" t="s">
        <v>1144</v>
      </c>
      <c r="O368" s="11" t="s">
        <v>1145</v>
      </c>
      <c r="Q368" s="8"/>
      <c r="R368" s="8"/>
      <c r="S368" s="8"/>
      <c r="T368" s="8"/>
      <c r="U368" s="8"/>
      <c r="V368" s="8"/>
      <c r="W368" s="8"/>
      <c r="X368" s="8"/>
      <c r="Y368" s="13">
        <v>45583</v>
      </c>
      <c r="AA368" s="14" t="s">
        <v>2055</v>
      </c>
      <c r="AB368" s="15" t="s">
        <v>2056</v>
      </c>
      <c r="AD368">
        <f t="shared" si="5"/>
        <v>1</v>
      </c>
    </row>
    <row r="369" spans="1:30" ht="13" customHeight="1" x14ac:dyDescent="0.35">
      <c r="A369" s="88" t="s">
        <v>32</v>
      </c>
      <c r="B369" s="89" t="s">
        <v>33</v>
      </c>
      <c r="C369" s="89"/>
      <c r="D369" s="89"/>
      <c r="E369" s="89" t="s">
        <v>2057</v>
      </c>
      <c r="F369" s="89" t="s">
        <v>103</v>
      </c>
      <c r="G369" s="89" t="s">
        <v>36</v>
      </c>
      <c r="H369" s="90" t="s">
        <v>591</v>
      </c>
      <c r="I369" s="89" t="s">
        <v>2058</v>
      </c>
      <c r="J369" s="89"/>
      <c r="K369" s="89"/>
      <c r="L369" s="90" t="s">
        <v>2059</v>
      </c>
      <c r="M369" s="90"/>
      <c r="N369" s="90"/>
      <c r="O369" s="92" t="s">
        <v>2060</v>
      </c>
      <c r="P369" s="89"/>
      <c r="Q369" s="89"/>
      <c r="R369" s="89"/>
      <c r="S369" s="89"/>
      <c r="T369" s="89"/>
      <c r="U369" s="89"/>
      <c r="V369" s="89"/>
      <c r="W369" s="89"/>
      <c r="X369" s="89"/>
      <c r="Y369" s="93">
        <v>45550</v>
      </c>
      <c r="Z369" s="89"/>
      <c r="AA369" s="14" t="s">
        <v>2061</v>
      </c>
      <c r="AD369" t="str">
        <f t="shared" si="5"/>
        <v/>
      </c>
    </row>
    <row r="370" spans="1:30" ht="13" customHeight="1" x14ac:dyDescent="0.35">
      <c r="A370" s="7" t="s">
        <v>32</v>
      </c>
      <c r="B370" s="8" t="s">
        <v>438</v>
      </c>
      <c r="C370" s="8"/>
      <c r="E370" s="49" t="s">
        <v>2062</v>
      </c>
      <c r="F370" s="9" t="s">
        <v>103</v>
      </c>
      <c r="G370" s="8" t="s">
        <v>36</v>
      </c>
      <c r="H370" s="10" t="s">
        <v>440</v>
      </c>
      <c r="I370" s="38" t="s">
        <v>2063</v>
      </c>
      <c r="J370" s="38"/>
      <c r="K370" s="8" t="s">
        <v>160</v>
      </c>
      <c r="L370" s="41" t="s">
        <v>2064</v>
      </c>
      <c r="M370" s="41" t="s">
        <v>2065</v>
      </c>
      <c r="N370" s="41" t="s">
        <v>2066</v>
      </c>
      <c r="O370" s="50" t="s">
        <v>2067</v>
      </c>
      <c r="P370" s="38" t="s">
        <v>58</v>
      </c>
      <c r="Q370" s="87" t="s">
        <v>820</v>
      </c>
      <c r="R370" s="49"/>
      <c r="S370" s="8"/>
      <c r="T370" s="8"/>
      <c r="X370" s="8"/>
      <c r="Y370" s="13">
        <v>45588</v>
      </c>
      <c r="Z370" s="8" t="s">
        <v>228</v>
      </c>
      <c r="AA370" s="14" t="s">
        <v>2068</v>
      </c>
      <c r="AB370" s="15" t="s">
        <v>2069</v>
      </c>
      <c r="AD370">
        <f t="shared" si="5"/>
        <v>1</v>
      </c>
    </row>
    <row r="371" spans="1:30" ht="13" customHeight="1" x14ac:dyDescent="0.35">
      <c r="A371" s="7" t="s">
        <v>32</v>
      </c>
      <c r="B371" s="8" t="s">
        <v>438</v>
      </c>
      <c r="C371" s="8"/>
      <c r="E371" s="8" t="s">
        <v>2070</v>
      </c>
      <c r="F371" s="9" t="s">
        <v>103</v>
      </c>
      <c r="G371" s="8" t="s">
        <v>36</v>
      </c>
      <c r="H371" s="10" t="s">
        <v>440</v>
      </c>
      <c r="I371" s="8" t="s">
        <v>2071</v>
      </c>
      <c r="K371" s="8" t="s">
        <v>160</v>
      </c>
      <c r="L371" s="10" t="s">
        <v>2064</v>
      </c>
      <c r="M371" s="10" t="s">
        <v>2065</v>
      </c>
      <c r="N371" s="10" t="s">
        <v>2066</v>
      </c>
      <c r="O371" s="11" t="s">
        <v>2072</v>
      </c>
      <c r="P371" s="8" t="s">
        <v>58</v>
      </c>
      <c r="Q371" s="82" t="s">
        <v>820</v>
      </c>
      <c r="R371" s="8"/>
      <c r="S371" s="8"/>
      <c r="T371" s="8"/>
      <c r="U371" s="8"/>
      <c r="V371" s="8"/>
      <c r="W371" s="8"/>
      <c r="X371" s="8"/>
      <c r="Y371" s="13">
        <v>45588</v>
      </c>
      <c r="Z371" s="8" t="s">
        <v>228</v>
      </c>
      <c r="AA371" s="14" t="s">
        <v>2073</v>
      </c>
      <c r="AB371" s="15" t="s">
        <v>2074</v>
      </c>
      <c r="AD371">
        <f t="shared" si="5"/>
        <v>1</v>
      </c>
    </row>
    <row r="372" spans="1:30" ht="13" customHeight="1" x14ac:dyDescent="0.35">
      <c r="A372" s="88" t="s">
        <v>32</v>
      </c>
      <c r="B372" s="89" t="s">
        <v>33</v>
      </c>
      <c r="C372" s="89"/>
      <c r="D372" s="89"/>
      <c r="E372" s="89" t="s">
        <v>2075</v>
      </c>
      <c r="F372" s="89" t="s">
        <v>103</v>
      </c>
      <c r="G372" s="89" t="s">
        <v>36</v>
      </c>
      <c r="H372" s="90" t="s">
        <v>591</v>
      </c>
      <c r="I372" s="89" t="s">
        <v>2076</v>
      </c>
      <c r="J372" s="89"/>
      <c r="K372" s="89"/>
      <c r="L372" s="90" t="s">
        <v>2077</v>
      </c>
      <c r="M372" s="90"/>
      <c r="N372" s="90"/>
      <c r="O372" s="92" t="s">
        <v>2078</v>
      </c>
      <c r="P372" s="89"/>
      <c r="Q372" s="89"/>
      <c r="R372" s="89"/>
      <c r="S372" s="89"/>
      <c r="T372" s="89"/>
      <c r="U372" s="89"/>
      <c r="V372" s="89"/>
      <c r="W372" s="89"/>
      <c r="X372" s="89"/>
      <c r="Y372" s="93">
        <v>45558</v>
      </c>
      <c r="Z372" s="89"/>
      <c r="AA372" s="14" t="s">
        <v>2079</v>
      </c>
      <c r="AD372" t="str">
        <f t="shared" si="5"/>
        <v/>
      </c>
    </row>
    <row r="373" spans="1:30" ht="13" customHeight="1" x14ac:dyDescent="0.35">
      <c r="A373" s="88" t="s">
        <v>32</v>
      </c>
      <c r="B373" s="89" t="s">
        <v>33</v>
      </c>
      <c r="C373" s="89"/>
      <c r="D373" s="89"/>
      <c r="E373" s="89" t="s">
        <v>2080</v>
      </c>
      <c r="F373" s="89" t="s">
        <v>103</v>
      </c>
      <c r="G373" s="89" t="s">
        <v>36</v>
      </c>
      <c r="H373" s="90" t="s">
        <v>591</v>
      </c>
      <c r="I373" s="89" t="s">
        <v>2081</v>
      </c>
      <c r="J373" s="89"/>
      <c r="K373" s="89" t="s">
        <v>160</v>
      </c>
      <c r="L373" s="91" t="s">
        <v>2082</v>
      </c>
      <c r="M373" s="90"/>
      <c r="N373" s="90"/>
      <c r="O373" s="92" t="s">
        <v>2083</v>
      </c>
      <c r="P373" s="89"/>
      <c r="Q373" s="89"/>
      <c r="R373" s="89"/>
      <c r="S373" s="89"/>
      <c r="T373" s="89"/>
      <c r="U373" s="89"/>
      <c r="V373" s="89"/>
      <c r="W373" s="89"/>
      <c r="X373" s="89"/>
      <c r="Y373" s="93">
        <v>45593</v>
      </c>
      <c r="Z373" s="89" t="s">
        <v>228</v>
      </c>
      <c r="AA373" s="14" t="s">
        <v>2084</v>
      </c>
      <c r="AB373" s="15" t="s">
        <v>2085</v>
      </c>
      <c r="AD373" t="str">
        <f t="shared" si="5"/>
        <v/>
      </c>
    </row>
    <row r="374" spans="1:30" ht="13" customHeight="1" x14ac:dyDescent="0.35">
      <c r="A374" s="88" t="s">
        <v>32</v>
      </c>
      <c r="B374" s="89" t="s">
        <v>33</v>
      </c>
      <c r="C374" s="89"/>
      <c r="D374" s="89"/>
      <c r="E374" s="89" t="s">
        <v>2086</v>
      </c>
      <c r="F374" s="89" t="s">
        <v>103</v>
      </c>
      <c r="G374" s="89" t="s">
        <v>36</v>
      </c>
      <c r="H374" s="90" t="s">
        <v>591</v>
      </c>
      <c r="I374" s="89" t="s">
        <v>2087</v>
      </c>
      <c r="J374" s="89"/>
      <c r="K374" s="89"/>
      <c r="L374" s="103" t="s">
        <v>2088</v>
      </c>
      <c r="M374" s="90"/>
      <c r="N374" s="92"/>
      <c r="O374" s="92" t="s">
        <v>2089</v>
      </c>
      <c r="P374" s="89"/>
      <c r="Q374" s="89"/>
      <c r="R374" s="89"/>
      <c r="S374" s="89"/>
      <c r="T374" s="89"/>
      <c r="U374" s="89"/>
      <c r="V374" s="89"/>
      <c r="W374" s="89"/>
      <c r="X374" s="89"/>
      <c r="Y374" s="93">
        <v>45558</v>
      </c>
      <c r="Z374" s="89" t="s">
        <v>228</v>
      </c>
      <c r="AA374" s="14" t="s">
        <v>2090</v>
      </c>
      <c r="AD374" t="str">
        <f t="shared" si="5"/>
        <v/>
      </c>
    </row>
    <row r="375" spans="1:30" ht="13" customHeight="1" x14ac:dyDescent="0.35">
      <c r="A375" s="7" t="s">
        <v>32</v>
      </c>
      <c r="B375" s="8" t="s">
        <v>33</v>
      </c>
      <c r="C375" s="8"/>
      <c r="E375" s="8" t="s">
        <v>2091</v>
      </c>
      <c r="F375" s="9" t="s">
        <v>103</v>
      </c>
      <c r="G375" s="8" t="s">
        <v>36</v>
      </c>
      <c r="H375" s="10" t="s">
        <v>591</v>
      </c>
      <c r="I375" s="8" t="s">
        <v>2092</v>
      </c>
      <c r="J375" s="8" t="s">
        <v>2093</v>
      </c>
      <c r="L375" s="79" t="s">
        <v>2094</v>
      </c>
      <c r="M375" s="57" t="s">
        <v>2095</v>
      </c>
      <c r="N375" s="10" t="s">
        <v>2096</v>
      </c>
      <c r="O375" s="11" t="s">
        <v>2097</v>
      </c>
      <c r="Q375" s="8"/>
      <c r="R375" s="8"/>
      <c r="S375" s="8"/>
      <c r="T375" s="8"/>
      <c r="U375" s="8"/>
      <c r="V375" s="8"/>
      <c r="W375" s="8"/>
      <c r="X375" s="8"/>
      <c r="Y375" s="13">
        <v>45589</v>
      </c>
      <c r="Z375" s="8" t="s">
        <v>228</v>
      </c>
      <c r="AA375" s="14" t="s">
        <v>2098</v>
      </c>
      <c r="AB375" s="12" t="s">
        <v>1682</v>
      </c>
      <c r="AD375">
        <f t="shared" si="5"/>
        <v>3</v>
      </c>
    </row>
    <row r="376" spans="1:30" ht="13" customHeight="1" x14ac:dyDescent="0.35">
      <c r="A376" s="7" t="s">
        <v>32</v>
      </c>
      <c r="B376" s="8" t="s">
        <v>70</v>
      </c>
      <c r="C376" s="8"/>
      <c r="D376" s="8" t="s">
        <v>101</v>
      </c>
      <c r="E376" s="29" t="s">
        <v>2099</v>
      </c>
      <c r="F376" s="9" t="s">
        <v>51</v>
      </c>
      <c r="G376" s="8" t="s">
        <v>52</v>
      </c>
      <c r="I376" s="8" t="s">
        <v>2100</v>
      </c>
      <c r="J376" s="8" t="s">
        <v>106</v>
      </c>
      <c r="K376" s="8" t="s">
        <v>55</v>
      </c>
      <c r="L376" s="36" t="s">
        <v>1990</v>
      </c>
      <c r="M376" s="11"/>
      <c r="N376" s="10"/>
      <c r="O376" s="31" t="s">
        <v>2101</v>
      </c>
      <c r="P376" s="8" t="s">
        <v>779</v>
      </c>
      <c r="Q376" s="29" t="s">
        <v>1991</v>
      </c>
      <c r="R376" s="29" t="s">
        <v>2102</v>
      </c>
      <c r="S376" s="8"/>
      <c r="T376" s="8"/>
      <c r="W376" s="29" t="s">
        <v>274</v>
      </c>
      <c r="X376" s="8"/>
      <c r="AA376" s="14" t="s">
        <v>2103</v>
      </c>
      <c r="AB376" s="15"/>
      <c r="AD376" t="str">
        <f t="shared" si="5"/>
        <v/>
      </c>
    </row>
    <row r="377" spans="1:30" ht="13" customHeight="1" x14ac:dyDescent="0.35">
      <c r="A377" s="7" t="s">
        <v>32</v>
      </c>
      <c r="B377" s="8" t="s">
        <v>33</v>
      </c>
      <c r="C377" s="8"/>
      <c r="E377" s="8" t="s">
        <v>2104</v>
      </c>
      <c r="F377" s="9" t="s">
        <v>103</v>
      </c>
      <c r="G377" s="8" t="s">
        <v>36</v>
      </c>
      <c r="H377" s="10" t="s">
        <v>591</v>
      </c>
      <c r="I377" s="8" t="s">
        <v>2105</v>
      </c>
      <c r="J377" s="8" t="s">
        <v>2093</v>
      </c>
      <c r="L377" s="79" t="s">
        <v>2094</v>
      </c>
      <c r="M377" s="57" t="s">
        <v>2095</v>
      </c>
      <c r="N377" s="10" t="s">
        <v>2096</v>
      </c>
      <c r="O377" s="11" t="s">
        <v>2097</v>
      </c>
      <c r="Q377" s="8"/>
      <c r="R377" s="8"/>
      <c r="S377" s="8"/>
      <c r="T377" s="8"/>
      <c r="U377" s="8"/>
      <c r="V377" s="8"/>
      <c r="W377" s="8"/>
      <c r="X377" s="8"/>
      <c r="Y377" s="13">
        <v>45589</v>
      </c>
      <c r="Z377" s="8" t="s">
        <v>228</v>
      </c>
      <c r="AA377" s="14" t="s">
        <v>2106</v>
      </c>
      <c r="AB377" s="12" t="s">
        <v>1682</v>
      </c>
      <c r="AD377">
        <f t="shared" si="5"/>
        <v>3</v>
      </c>
    </row>
    <row r="378" spans="1:30" ht="13" customHeight="1" x14ac:dyDescent="0.35">
      <c r="A378" s="88" t="s">
        <v>32</v>
      </c>
      <c r="B378" s="89" t="s">
        <v>33</v>
      </c>
      <c r="C378" s="89"/>
      <c r="D378" s="89"/>
      <c r="E378" s="89" t="s">
        <v>2107</v>
      </c>
      <c r="F378" s="89" t="s">
        <v>103</v>
      </c>
      <c r="G378" s="89" t="s">
        <v>36</v>
      </c>
      <c r="H378" s="90" t="s">
        <v>591</v>
      </c>
      <c r="I378" s="89" t="s">
        <v>2108</v>
      </c>
      <c r="J378" s="89"/>
      <c r="K378" s="89"/>
      <c r="L378" s="91" t="s">
        <v>2109</v>
      </c>
      <c r="M378" s="90" t="s">
        <v>1100</v>
      </c>
      <c r="N378" s="92" t="s">
        <v>1101</v>
      </c>
      <c r="O378" s="92" t="s">
        <v>2110</v>
      </c>
      <c r="P378" s="89"/>
      <c r="Q378" s="89"/>
      <c r="R378" s="89"/>
      <c r="S378" s="89"/>
      <c r="T378" s="89"/>
      <c r="U378" s="89"/>
      <c r="V378" s="89"/>
      <c r="W378" s="89"/>
      <c r="X378" s="89"/>
      <c r="Y378" s="93">
        <v>45586</v>
      </c>
      <c r="Z378" s="89"/>
      <c r="AA378" s="14" t="s">
        <v>2111</v>
      </c>
      <c r="AD378">
        <f t="shared" si="5"/>
        <v>1</v>
      </c>
    </row>
    <row r="379" spans="1:30" ht="13" customHeight="1" x14ac:dyDescent="0.35">
      <c r="A379" s="7" t="s">
        <v>32</v>
      </c>
      <c r="B379" s="8" t="s">
        <v>33</v>
      </c>
      <c r="C379" s="8"/>
      <c r="E379" s="8" t="s">
        <v>2112</v>
      </c>
      <c r="F379" s="9" t="s">
        <v>103</v>
      </c>
      <c r="G379" s="8" t="s">
        <v>36</v>
      </c>
      <c r="H379" s="10" t="s">
        <v>223</v>
      </c>
      <c r="I379" s="8" t="s">
        <v>2113</v>
      </c>
      <c r="K379" s="8" t="s">
        <v>599</v>
      </c>
      <c r="L379" s="62" t="s">
        <v>2114</v>
      </c>
      <c r="M379" s="10" t="s">
        <v>1100</v>
      </c>
      <c r="N379" s="10" t="s">
        <v>1101</v>
      </c>
      <c r="O379" s="11" t="s">
        <v>1102</v>
      </c>
      <c r="Q379" s="8"/>
      <c r="R379" s="8"/>
      <c r="S379" s="8"/>
      <c r="T379" s="8"/>
      <c r="U379" s="8"/>
      <c r="V379" s="8"/>
      <c r="W379" s="8"/>
      <c r="X379" s="8"/>
      <c r="Y379" s="13">
        <v>45558</v>
      </c>
      <c r="AA379" s="14" t="s">
        <v>2115</v>
      </c>
      <c r="AB379" s="15" t="s">
        <v>2116</v>
      </c>
      <c r="AD379">
        <f t="shared" si="5"/>
        <v>1</v>
      </c>
    </row>
    <row r="380" spans="1:30" ht="13" customHeight="1" x14ac:dyDescent="0.35">
      <c r="A380" s="7" t="s">
        <v>32</v>
      </c>
      <c r="B380" s="8" t="s">
        <v>70</v>
      </c>
      <c r="C380" s="8"/>
      <c r="D380" s="8" t="s">
        <v>101</v>
      </c>
      <c r="E380" s="29" t="s">
        <v>2117</v>
      </c>
      <c r="F380" s="9" t="s">
        <v>51</v>
      </c>
      <c r="G380" s="8" t="s">
        <v>2118</v>
      </c>
      <c r="I380" s="8" t="s">
        <v>2119</v>
      </c>
      <c r="J380" s="8" t="s">
        <v>106</v>
      </c>
      <c r="K380" s="8" t="s">
        <v>55</v>
      </c>
      <c r="L380" s="35" t="s">
        <v>2120</v>
      </c>
      <c r="M380" s="10"/>
      <c r="N380" s="10"/>
      <c r="O380" s="31" t="s">
        <v>2121</v>
      </c>
      <c r="P380" s="8" t="s">
        <v>15</v>
      </c>
      <c r="Q380" s="29" t="s">
        <v>2122</v>
      </c>
      <c r="R380" s="29" t="s">
        <v>780</v>
      </c>
      <c r="S380" s="8"/>
      <c r="T380" s="8"/>
      <c r="W380" s="29" t="s">
        <v>274</v>
      </c>
      <c r="X380" s="8"/>
      <c r="AA380" s="14" t="s">
        <v>2123</v>
      </c>
      <c r="AD380" t="str">
        <f t="shared" si="5"/>
        <v/>
      </c>
    </row>
    <row r="381" spans="1:30" ht="13" customHeight="1" x14ac:dyDescent="0.35">
      <c r="A381" s="88" t="s">
        <v>32</v>
      </c>
      <c r="B381" s="89" t="s">
        <v>33</v>
      </c>
      <c r="C381" s="89"/>
      <c r="D381" s="89"/>
      <c r="E381" s="89" t="s">
        <v>2124</v>
      </c>
      <c r="F381" s="89" t="s">
        <v>103</v>
      </c>
      <c r="G381" s="89" t="s">
        <v>36</v>
      </c>
      <c r="H381" s="90" t="s">
        <v>591</v>
      </c>
      <c r="I381" s="89" t="s">
        <v>2125</v>
      </c>
      <c r="J381" s="89"/>
      <c r="K381" s="89"/>
      <c r="L381" s="91" t="s">
        <v>2109</v>
      </c>
      <c r="M381" s="90"/>
      <c r="N381" s="92"/>
      <c r="O381" s="92" t="s">
        <v>2126</v>
      </c>
      <c r="P381" s="89"/>
      <c r="Q381" s="89"/>
      <c r="R381" s="89"/>
      <c r="S381" s="89"/>
      <c r="T381" s="89"/>
      <c r="U381" s="89"/>
      <c r="V381" s="89"/>
      <c r="W381" s="89"/>
      <c r="X381" s="89"/>
      <c r="Y381" s="93">
        <v>45586</v>
      </c>
      <c r="Z381" s="89"/>
      <c r="AA381" s="14" t="s">
        <v>2127</v>
      </c>
      <c r="AD381" t="str">
        <f t="shared" si="5"/>
        <v/>
      </c>
    </row>
    <row r="382" spans="1:30" ht="13" customHeight="1" x14ac:dyDescent="0.35">
      <c r="A382" s="7" t="s">
        <v>32</v>
      </c>
      <c r="B382" s="8" t="s">
        <v>33</v>
      </c>
      <c r="C382" s="8"/>
      <c r="E382" s="8" t="s">
        <v>2128</v>
      </c>
      <c r="F382" s="9" t="s">
        <v>103</v>
      </c>
      <c r="G382" s="8" t="s">
        <v>36</v>
      </c>
      <c r="H382" s="10" t="s">
        <v>37</v>
      </c>
      <c r="I382" s="8" t="s">
        <v>2129</v>
      </c>
      <c r="K382" s="8" t="s">
        <v>599</v>
      </c>
      <c r="L382" s="10" t="s">
        <v>948</v>
      </c>
      <c r="M382" s="10" t="s">
        <v>949</v>
      </c>
      <c r="N382" s="10" t="s">
        <v>2130</v>
      </c>
      <c r="O382" s="11"/>
      <c r="Q382" s="8"/>
      <c r="R382" s="8"/>
      <c r="S382" s="8"/>
      <c r="T382" s="8"/>
      <c r="U382" s="8"/>
      <c r="V382" s="8"/>
      <c r="W382" s="8"/>
      <c r="X382" s="8"/>
      <c r="Y382" s="13">
        <v>45586</v>
      </c>
      <c r="AA382" s="14" t="s">
        <v>2131</v>
      </c>
      <c r="AB382" s="15" t="s">
        <v>2132</v>
      </c>
      <c r="AD382">
        <f t="shared" si="5"/>
        <v>1</v>
      </c>
    </row>
    <row r="383" spans="1:30" ht="13" customHeight="1" x14ac:dyDescent="0.35">
      <c r="A383" s="7" t="s">
        <v>32</v>
      </c>
      <c r="B383" s="8" t="s">
        <v>33</v>
      </c>
      <c r="C383" s="8"/>
      <c r="E383" s="8" t="s">
        <v>2133</v>
      </c>
      <c r="F383" s="8" t="s">
        <v>103</v>
      </c>
      <c r="G383" s="8" t="s">
        <v>36</v>
      </c>
      <c r="H383" s="10" t="s">
        <v>591</v>
      </c>
      <c r="I383" s="8" t="s">
        <v>2134</v>
      </c>
      <c r="L383" s="56" t="s">
        <v>2033</v>
      </c>
      <c r="M383" s="57" t="s">
        <v>1649</v>
      </c>
      <c r="N383" s="10" t="s">
        <v>1650</v>
      </c>
      <c r="O383" s="11" t="s">
        <v>2135</v>
      </c>
      <c r="Q383" s="8"/>
      <c r="R383" s="8"/>
      <c r="S383" s="8"/>
      <c r="T383" s="8"/>
      <c r="U383" s="8"/>
      <c r="V383" s="8"/>
      <c r="W383" s="8"/>
      <c r="X383" s="8"/>
      <c r="Y383" s="13">
        <v>45558</v>
      </c>
      <c r="AA383" s="14" t="s">
        <v>2136</v>
      </c>
      <c r="AD383">
        <f t="shared" si="5"/>
        <v>2</v>
      </c>
    </row>
    <row r="384" spans="1:30" ht="13" customHeight="1" x14ac:dyDescent="0.35">
      <c r="A384" s="88" t="s">
        <v>32</v>
      </c>
      <c r="B384" s="89" t="s">
        <v>33</v>
      </c>
      <c r="C384" s="89"/>
      <c r="D384" s="89"/>
      <c r="E384" s="89" t="s">
        <v>2137</v>
      </c>
      <c r="F384" s="89" t="s">
        <v>103</v>
      </c>
      <c r="G384" s="89" t="s">
        <v>36</v>
      </c>
      <c r="H384" s="90" t="s">
        <v>591</v>
      </c>
      <c r="I384" s="89" t="s">
        <v>2138</v>
      </c>
      <c r="J384" s="89"/>
      <c r="K384" s="89"/>
      <c r="L384" s="90" t="s">
        <v>2139</v>
      </c>
      <c r="M384" s="90"/>
      <c r="N384" s="90"/>
      <c r="O384" s="92" t="s">
        <v>2140</v>
      </c>
      <c r="P384" s="89"/>
      <c r="Q384" s="89"/>
      <c r="R384" s="89"/>
      <c r="S384" s="89"/>
      <c r="T384" s="89"/>
      <c r="U384" s="89"/>
      <c r="V384" s="89"/>
      <c r="W384" s="89"/>
      <c r="X384" s="89"/>
      <c r="Y384" s="93">
        <v>45550</v>
      </c>
      <c r="Z384" s="89"/>
      <c r="AA384" s="14" t="s">
        <v>2141</v>
      </c>
      <c r="AD384" t="str">
        <f t="shared" si="5"/>
        <v/>
      </c>
    </row>
    <row r="385" spans="1:30" ht="13" customHeight="1" x14ac:dyDescent="0.35">
      <c r="A385" s="88" t="s">
        <v>32</v>
      </c>
      <c r="B385" s="89" t="s">
        <v>33</v>
      </c>
      <c r="C385" s="89"/>
      <c r="D385" s="89"/>
      <c r="E385" s="89" t="s">
        <v>2142</v>
      </c>
      <c r="F385" s="89" t="s">
        <v>103</v>
      </c>
      <c r="G385" s="89" t="s">
        <v>36</v>
      </c>
      <c r="H385" s="90" t="s">
        <v>591</v>
      </c>
      <c r="I385" s="89" t="s">
        <v>2143</v>
      </c>
      <c r="J385" s="89"/>
      <c r="K385" s="89"/>
      <c r="L385" s="91" t="s">
        <v>2144</v>
      </c>
      <c r="M385" s="90"/>
      <c r="N385" s="90"/>
      <c r="O385" s="92" t="s">
        <v>2145</v>
      </c>
      <c r="P385" s="89"/>
      <c r="Q385" s="89"/>
      <c r="R385" s="89"/>
      <c r="S385" s="89"/>
      <c r="T385" s="89"/>
      <c r="U385" s="89"/>
      <c r="V385" s="89"/>
      <c r="W385" s="89"/>
      <c r="X385" s="89"/>
      <c r="Y385" s="93">
        <v>45550</v>
      </c>
      <c r="Z385" s="89"/>
      <c r="AA385" s="14" t="s">
        <v>2146</v>
      </c>
      <c r="AD385" t="str">
        <f t="shared" si="5"/>
        <v/>
      </c>
    </row>
    <row r="386" spans="1:30" ht="13" customHeight="1" x14ac:dyDescent="0.35">
      <c r="A386" s="7" t="s">
        <v>32</v>
      </c>
      <c r="B386" s="8" t="s">
        <v>33</v>
      </c>
      <c r="C386" s="8"/>
      <c r="E386" s="8" t="s">
        <v>2147</v>
      </c>
      <c r="F386" s="8" t="s">
        <v>103</v>
      </c>
      <c r="G386" s="8" t="s">
        <v>336</v>
      </c>
      <c r="H386" s="10" t="s">
        <v>795</v>
      </c>
      <c r="I386" s="8" t="s">
        <v>2148</v>
      </c>
      <c r="J386" s="8" t="s">
        <v>2093</v>
      </c>
      <c r="L386" s="56" t="s">
        <v>2149</v>
      </c>
      <c r="M386" s="57" t="s">
        <v>2150</v>
      </c>
      <c r="N386" s="10" t="s">
        <v>2151</v>
      </c>
      <c r="O386" s="55" t="s">
        <v>2152</v>
      </c>
      <c r="Q386" s="8"/>
      <c r="R386" s="8"/>
      <c r="S386" s="8"/>
      <c r="T386" s="8"/>
      <c r="U386" s="8"/>
      <c r="V386" s="8"/>
      <c r="W386" s="8"/>
      <c r="X386" s="8"/>
      <c r="Y386" s="13">
        <v>45594</v>
      </c>
      <c r="AA386" s="14" t="s">
        <v>2153</v>
      </c>
      <c r="AB386" s="12" t="s">
        <v>2154</v>
      </c>
      <c r="AD386">
        <f t="shared" ref="AD386:AD449" si="6">IF(M386="","",COUNTA(_xlfn.TEXTSPLIT(M386,CHAR(10))))</f>
        <v>3</v>
      </c>
    </row>
    <row r="387" spans="1:30" ht="13" customHeight="1" x14ac:dyDescent="0.35">
      <c r="A387" s="88" t="s">
        <v>32</v>
      </c>
      <c r="B387" s="89" t="s">
        <v>33</v>
      </c>
      <c r="C387" s="89"/>
      <c r="D387" s="89"/>
      <c r="E387" s="89" t="s">
        <v>2155</v>
      </c>
      <c r="F387" s="89" t="s">
        <v>103</v>
      </c>
      <c r="G387" s="89" t="s">
        <v>36</v>
      </c>
      <c r="H387" s="90" t="s">
        <v>591</v>
      </c>
      <c r="I387" s="89" t="s">
        <v>2156</v>
      </c>
      <c r="J387" s="89"/>
      <c r="K387" s="89"/>
      <c r="L387" s="90" t="s">
        <v>2157</v>
      </c>
      <c r="M387" s="90"/>
      <c r="N387" s="90"/>
      <c r="O387" s="92"/>
      <c r="P387" s="89"/>
      <c r="Q387" s="89"/>
      <c r="R387" s="89"/>
      <c r="S387" s="89"/>
      <c r="T387" s="89"/>
      <c r="U387" s="89"/>
      <c r="V387" s="89"/>
      <c r="W387" s="89"/>
      <c r="X387" s="89"/>
      <c r="Y387" s="93">
        <v>45594</v>
      </c>
      <c r="Z387" s="89"/>
      <c r="AA387" s="14" t="s">
        <v>2158</v>
      </c>
      <c r="AD387" t="str">
        <f t="shared" si="6"/>
        <v/>
      </c>
    </row>
    <row r="388" spans="1:30" ht="13" customHeight="1" x14ac:dyDescent="0.35">
      <c r="A388" s="88" t="s">
        <v>32</v>
      </c>
      <c r="B388" s="89" t="s">
        <v>33</v>
      </c>
      <c r="C388" s="89"/>
      <c r="D388" s="89"/>
      <c r="E388" s="89" t="s">
        <v>2159</v>
      </c>
      <c r="F388" s="89" t="s">
        <v>103</v>
      </c>
      <c r="G388" s="89" t="s">
        <v>36</v>
      </c>
      <c r="H388" s="90" t="s">
        <v>591</v>
      </c>
      <c r="I388" s="89" t="s">
        <v>2160</v>
      </c>
      <c r="J388" s="89"/>
      <c r="K388" s="89"/>
      <c r="L388" s="92" t="s">
        <v>2161</v>
      </c>
      <c r="M388" s="92"/>
      <c r="N388" s="92"/>
      <c r="O388" s="92" t="s">
        <v>2162</v>
      </c>
      <c r="P388" s="89"/>
      <c r="Q388" s="89"/>
      <c r="R388" s="89"/>
      <c r="S388" s="89"/>
      <c r="T388" s="89"/>
      <c r="U388" s="89"/>
      <c r="V388" s="89"/>
      <c r="W388" s="89"/>
      <c r="X388" s="89"/>
      <c r="Y388" s="93">
        <v>45594</v>
      </c>
      <c r="Z388" s="89"/>
      <c r="AA388" s="14" t="s">
        <v>2163</v>
      </c>
      <c r="AD388" t="str">
        <f t="shared" si="6"/>
        <v/>
      </c>
    </row>
    <row r="389" spans="1:30" ht="13" customHeight="1" x14ac:dyDescent="0.35">
      <c r="A389" s="88" t="s">
        <v>32</v>
      </c>
      <c r="B389" s="89" t="s">
        <v>33</v>
      </c>
      <c r="C389" s="89"/>
      <c r="D389" s="89"/>
      <c r="E389" s="89" t="s">
        <v>2159</v>
      </c>
      <c r="F389" s="89" t="s">
        <v>103</v>
      </c>
      <c r="G389" s="89" t="s">
        <v>36</v>
      </c>
      <c r="H389" s="90" t="s">
        <v>591</v>
      </c>
      <c r="I389" s="89" t="s">
        <v>2164</v>
      </c>
      <c r="J389" s="89"/>
      <c r="K389" s="89"/>
      <c r="L389" s="92" t="s">
        <v>2165</v>
      </c>
      <c r="M389" s="92"/>
      <c r="N389" s="92"/>
      <c r="O389" s="92" t="s">
        <v>2166</v>
      </c>
      <c r="P389" s="89"/>
      <c r="Q389" s="89"/>
      <c r="R389" s="89"/>
      <c r="S389" s="89"/>
      <c r="T389" s="89"/>
      <c r="U389" s="89"/>
      <c r="V389" s="89"/>
      <c r="W389" s="89"/>
      <c r="X389" s="89"/>
      <c r="Y389" s="93">
        <v>45594</v>
      </c>
      <c r="Z389" s="89"/>
      <c r="AA389" s="14" t="s">
        <v>2167</v>
      </c>
      <c r="AD389" t="str">
        <f t="shared" si="6"/>
        <v/>
      </c>
    </row>
    <row r="390" spans="1:30" ht="13" customHeight="1" x14ac:dyDescent="0.35">
      <c r="A390" s="88" t="s">
        <v>32</v>
      </c>
      <c r="B390" s="89" t="s">
        <v>33</v>
      </c>
      <c r="C390" s="89"/>
      <c r="D390" s="89"/>
      <c r="E390" s="89" t="s">
        <v>2168</v>
      </c>
      <c r="F390" s="89" t="s">
        <v>103</v>
      </c>
      <c r="G390" s="89" t="s">
        <v>36</v>
      </c>
      <c r="H390" s="90" t="s">
        <v>591</v>
      </c>
      <c r="I390" s="89" t="s">
        <v>2169</v>
      </c>
      <c r="J390" s="89"/>
      <c r="K390" s="89"/>
      <c r="L390" s="90" t="s">
        <v>2170</v>
      </c>
      <c r="M390" s="90"/>
      <c r="N390" s="90"/>
      <c r="O390" s="92" t="s">
        <v>2140</v>
      </c>
      <c r="P390" s="89"/>
      <c r="Q390" s="89"/>
      <c r="R390" s="89"/>
      <c r="S390" s="89"/>
      <c r="T390" s="89"/>
      <c r="U390" s="89"/>
      <c r="V390" s="89"/>
      <c r="W390" s="89"/>
      <c r="X390" s="89"/>
      <c r="Y390" s="93">
        <v>45550</v>
      </c>
      <c r="Z390" s="89"/>
      <c r="AA390" s="14" t="s">
        <v>2171</v>
      </c>
      <c r="AD390" t="str">
        <f t="shared" si="6"/>
        <v/>
      </c>
    </row>
    <row r="391" spans="1:30" ht="13" customHeight="1" x14ac:dyDescent="0.35">
      <c r="A391" s="88" t="s">
        <v>32</v>
      </c>
      <c r="B391" s="89" t="s">
        <v>33</v>
      </c>
      <c r="C391" s="89"/>
      <c r="D391" s="89"/>
      <c r="E391" s="89" t="s">
        <v>2172</v>
      </c>
      <c r="F391" s="89" t="s">
        <v>103</v>
      </c>
      <c r="G391" s="89" t="s">
        <v>36</v>
      </c>
      <c r="H391" s="90" t="s">
        <v>591</v>
      </c>
      <c r="I391" s="89" t="s">
        <v>2173</v>
      </c>
      <c r="J391" s="89"/>
      <c r="K391" s="89"/>
      <c r="L391" s="91" t="s">
        <v>2174</v>
      </c>
      <c r="M391" s="90"/>
      <c r="N391" s="90"/>
      <c r="O391" s="92" t="s">
        <v>2175</v>
      </c>
      <c r="P391" s="89"/>
      <c r="Q391" s="89"/>
      <c r="R391" s="89"/>
      <c r="S391" s="89"/>
      <c r="T391" s="89"/>
      <c r="U391" s="89"/>
      <c r="V391" s="89"/>
      <c r="W391" s="89"/>
      <c r="X391" s="89"/>
      <c r="Y391" s="93">
        <v>45550</v>
      </c>
      <c r="Z391" s="89"/>
      <c r="AA391" s="14" t="s">
        <v>2176</v>
      </c>
      <c r="AD391" t="str">
        <f t="shared" si="6"/>
        <v/>
      </c>
    </row>
    <row r="392" spans="1:30" ht="13" customHeight="1" x14ac:dyDescent="0.35">
      <c r="A392" s="88" t="s">
        <v>32</v>
      </c>
      <c r="B392" s="89" t="s">
        <v>33</v>
      </c>
      <c r="C392" s="89"/>
      <c r="D392" s="89"/>
      <c r="E392" s="89" t="s">
        <v>2177</v>
      </c>
      <c r="F392" s="89" t="s">
        <v>103</v>
      </c>
      <c r="G392" s="89" t="s">
        <v>36</v>
      </c>
      <c r="H392" s="90" t="s">
        <v>591</v>
      </c>
      <c r="I392" s="89" t="s">
        <v>2178</v>
      </c>
      <c r="J392" s="89"/>
      <c r="K392" s="89"/>
      <c r="L392" s="92" t="s">
        <v>2179</v>
      </c>
      <c r="M392" s="92"/>
      <c r="N392" s="92"/>
      <c r="O392" s="92" t="s">
        <v>2180</v>
      </c>
      <c r="P392" s="89"/>
      <c r="Q392" s="89"/>
      <c r="R392" s="89"/>
      <c r="S392" s="89"/>
      <c r="T392" s="89"/>
      <c r="U392" s="89"/>
      <c r="V392" s="89"/>
      <c r="W392" s="89"/>
      <c r="X392" s="89"/>
      <c r="Y392" s="93">
        <v>45594</v>
      </c>
      <c r="Z392" s="89"/>
      <c r="AA392" s="14" t="s">
        <v>2181</v>
      </c>
      <c r="AD392" t="str">
        <f t="shared" si="6"/>
        <v/>
      </c>
    </row>
    <row r="393" spans="1:30" ht="13" customHeight="1" x14ac:dyDescent="0.35">
      <c r="A393" s="7" t="s">
        <v>32</v>
      </c>
      <c r="B393" s="8" t="s">
        <v>48</v>
      </c>
      <c r="C393" s="8"/>
      <c r="D393" s="8" t="s">
        <v>172</v>
      </c>
      <c r="E393" s="29" t="s">
        <v>2182</v>
      </c>
      <c r="F393" s="9" t="s">
        <v>51</v>
      </c>
      <c r="G393" s="8" t="s">
        <v>174</v>
      </c>
      <c r="I393" s="8" t="s">
        <v>2183</v>
      </c>
      <c r="J393" s="8" t="s">
        <v>176</v>
      </c>
      <c r="K393" s="8" t="s">
        <v>55</v>
      </c>
      <c r="L393" s="36" t="s">
        <v>2184</v>
      </c>
      <c r="M393" s="11"/>
      <c r="N393" s="11"/>
      <c r="O393" s="31" t="s">
        <v>2185</v>
      </c>
      <c r="P393" s="8" t="s">
        <v>142</v>
      </c>
      <c r="Q393" s="29" t="s">
        <v>2122</v>
      </c>
      <c r="R393" s="29" t="s">
        <v>118</v>
      </c>
      <c r="S393" s="8"/>
      <c r="T393" s="8"/>
      <c r="W393" s="29" t="s">
        <v>274</v>
      </c>
      <c r="X393" s="8"/>
      <c r="AA393" s="14" t="s">
        <v>2186</v>
      </c>
      <c r="AB393" s="15"/>
      <c r="AD393" t="str">
        <f t="shared" si="6"/>
        <v/>
      </c>
    </row>
    <row r="394" spans="1:30" ht="13" customHeight="1" x14ac:dyDescent="0.35">
      <c r="A394" s="7" t="s">
        <v>32</v>
      </c>
      <c r="B394" s="8" t="s">
        <v>48</v>
      </c>
      <c r="C394" s="8"/>
      <c r="D394" s="8" t="s">
        <v>172</v>
      </c>
      <c r="E394" s="29" t="s">
        <v>2187</v>
      </c>
      <c r="F394" s="9" t="s">
        <v>35</v>
      </c>
      <c r="G394" s="8" t="s">
        <v>174</v>
      </c>
      <c r="I394" s="8" t="s">
        <v>2188</v>
      </c>
      <c r="J394" s="8" t="s">
        <v>176</v>
      </c>
      <c r="K394" s="8" t="s">
        <v>132</v>
      </c>
      <c r="L394" s="11"/>
      <c r="M394" s="11"/>
      <c r="N394" s="11"/>
      <c r="S394" s="8"/>
      <c r="T394" s="8"/>
      <c r="W394" s="29" t="s">
        <v>274</v>
      </c>
      <c r="X394" s="8"/>
      <c r="AA394" s="14" t="s">
        <v>2189</v>
      </c>
      <c r="AB394" s="15"/>
      <c r="AD394" t="str">
        <f t="shared" si="6"/>
        <v/>
      </c>
    </row>
    <row r="395" spans="1:30" ht="13" customHeight="1" x14ac:dyDescent="0.35">
      <c r="A395" s="7" t="s">
        <v>32</v>
      </c>
      <c r="B395" s="8" t="s">
        <v>48</v>
      </c>
      <c r="C395" s="8"/>
      <c r="D395" s="8" t="s">
        <v>49</v>
      </c>
      <c r="E395" s="29" t="s">
        <v>2190</v>
      </c>
      <c r="F395" s="9" t="s">
        <v>235</v>
      </c>
      <c r="G395" s="8" t="s">
        <v>174</v>
      </c>
      <c r="I395" s="8" t="s">
        <v>2191</v>
      </c>
      <c r="J395" s="8" t="s">
        <v>54</v>
      </c>
      <c r="K395" s="8" t="s">
        <v>55</v>
      </c>
      <c r="L395" s="48" t="s">
        <v>2192</v>
      </c>
      <c r="M395" s="11" t="s">
        <v>1507</v>
      </c>
      <c r="N395" s="11"/>
      <c r="O395" s="31" t="s">
        <v>2193</v>
      </c>
      <c r="P395" s="8" t="s">
        <v>142</v>
      </c>
      <c r="Q395" s="29" t="s">
        <v>2194</v>
      </c>
      <c r="R395" s="29" t="s">
        <v>118</v>
      </c>
      <c r="S395" s="8"/>
      <c r="T395" s="8"/>
      <c r="W395" s="29" t="s">
        <v>274</v>
      </c>
      <c r="X395" s="8"/>
      <c r="AA395" s="14" t="s">
        <v>2195</v>
      </c>
      <c r="AB395" s="15"/>
      <c r="AD395">
        <f t="shared" si="6"/>
        <v>1</v>
      </c>
    </row>
    <row r="396" spans="1:30" ht="13" customHeight="1" x14ac:dyDescent="0.35">
      <c r="A396" s="7" t="s">
        <v>32</v>
      </c>
      <c r="B396" s="8" t="s">
        <v>33</v>
      </c>
      <c r="C396" s="8"/>
      <c r="E396" s="8" t="s">
        <v>2196</v>
      </c>
      <c r="F396" s="8" t="s">
        <v>103</v>
      </c>
      <c r="G396" s="8" t="s">
        <v>36</v>
      </c>
      <c r="H396" s="10" t="s">
        <v>193</v>
      </c>
      <c r="I396" s="8" t="s">
        <v>2197</v>
      </c>
      <c r="K396" s="8" t="s">
        <v>599</v>
      </c>
      <c r="L396" s="56" t="s">
        <v>321</v>
      </c>
      <c r="M396" s="57" t="s">
        <v>2198</v>
      </c>
      <c r="N396" s="11" t="s">
        <v>2199</v>
      </c>
      <c r="O396" s="11" t="s">
        <v>2200</v>
      </c>
      <c r="Q396" s="8"/>
      <c r="R396" s="8"/>
      <c r="S396" s="8"/>
      <c r="T396" s="8"/>
      <c r="U396" s="8"/>
      <c r="V396" s="8"/>
      <c r="W396" s="8"/>
      <c r="X396" s="8"/>
      <c r="Y396" s="13">
        <v>45616</v>
      </c>
      <c r="Z396" s="8" t="s">
        <v>228</v>
      </c>
      <c r="AA396" s="14" t="s">
        <v>2201</v>
      </c>
      <c r="AB396" s="15" t="s">
        <v>2202</v>
      </c>
      <c r="AD396">
        <f t="shared" si="6"/>
        <v>4</v>
      </c>
    </row>
    <row r="397" spans="1:30" ht="13" customHeight="1" x14ac:dyDescent="0.35">
      <c r="A397" s="7" t="s">
        <v>32</v>
      </c>
      <c r="B397" s="8" t="s">
        <v>33</v>
      </c>
      <c r="C397" s="8"/>
      <c r="E397" s="8" t="s">
        <v>2203</v>
      </c>
      <c r="F397" s="9" t="s">
        <v>103</v>
      </c>
      <c r="G397" s="8" t="s">
        <v>36</v>
      </c>
      <c r="H397" s="10" t="s">
        <v>795</v>
      </c>
      <c r="I397" s="8" t="s">
        <v>2204</v>
      </c>
      <c r="J397" s="8" t="s">
        <v>2093</v>
      </c>
      <c r="L397" s="62" t="s">
        <v>2114</v>
      </c>
      <c r="M397" s="10" t="s">
        <v>2205</v>
      </c>
      <c r="N397" s="10"/>
      <c r="O397" s="11" t="s">
        <v>2206</v>
      </c>
      <c r="Q397" s="8"/>
      <c r="R397" s="8"/>
      <c r="S397" s="8"/>
      <c r="T397" s="8"/>
      <c r="U397" s="8"/>
      <c r="V397" s="8"/>
      <c r="W397" s="8"/>
      <c r="X397" s="8"/>
      <c r="Y397" s="13">
        <v>45630</v>
      </c>
      <c r="Z397" s="8" t="s">
        <v>802</v>
      </c>
      <c r="AA397" s="14" t="s">
        <v>2207</v>
      </c>
      <c r="AB397" s="12" t="s">
        <v>2015</v>
      </c>
      <c r="AD397">
        <f t="shared" si="6"/>
        <v>1</v>
      </c>
    </row>
    <row r="398" spans="1:30" ht="13" customHeight="1" x14ac:dyDescent="0.35">
      <c r="A398" s="7" t="s">
        <v>32</v>
      </c>
      <c r="B398" s="8" t="s">
        <v>33</v>
      </c>
      <c r="C398" s="8"/>
      <c r="E398" s="8" t="s">
        <v>2208</v>
      </c>
      <c r="F398" s="8" t="s">
        <v>103</v>
      </c>
      <c r="G398" s="8" t="s">
        <v>36</v>
      </c>
      <c r="H398" s="10" t="s">
        <v>795</v>
      </c>
      <c r="I398" s="8" t="s">
        <v>2209</v>
      </c>
      <c r="J398" s="8" t="s">
        <v>2093</v>
      </c>
      <c r="L398" s="79" t="s">
        <v>2210</v>
      </c>
      <c r="M398" s="57" t="s">
        <v>2211</v>
      </c>
      <c r="N398" s="10" t="s">
        <v>2212</v>
      </c>
      <c r="O398" s="11" t="s">
        <v>2213</v>
      </c>
      <c r="Q398" s="8"/>
      <c r="R398" s="8"/>
      <c r="S398" s="8"/>
      <c r="T398" s="8"/>
      <c r="U398" s="8"/>
      <c r="V398" s="8"/>
      <c r="W398" s="8"/>
      <c r="X398" s="8"/>
      <c r="Y398" s="13">
        <v>45602</v>
      </c>
      <c r="AA398" s="14" t="s">
        <v>2214</v>
      </c>
      <c r="AB398" s="12" t="s">
        <v>2215</v>
      </c>
      <c r="AD398">
        <f t="shared" si="6"/>
        <v>4</v>
      </c>
    </row>
    <row r="399" spans="1:30" ht="13" customHeight="1" x14ac:dyDescent="0.35">
      <c r="A399" s="7" t="s">
        <v>32</v>
      </c>
      <c r="B399" s="8" t="s">
        <v>48</v>
      </c>
      <c r="C399" s="8"/>
      <c r="D399" s="8" t="s">
        <v>49</v>
      </c>
      <c r="E399" s="29" t="s">
        <v>2216</v>
      </c>
      <c r="F399" s="9" t="s">
        <v>35</v>
      </c>
      <c r="G399" s="8" t="s">
        <v>174</v>
      </c>
      <c r="I399" s="8" t="s">
        <v>2217</v>
      </c>
      <c r="J399" s="8" t="s">
        <v>123</v>
      </c>
      <c r="K399" s="8" t="s">
        <v>132</v>
      </c>
      <c r="L399" s="11"/>
      <c r="M399" s="11"/>
      <c r="N399" s="11"/>
      <c r="S399" s="8"/>
      <c r="T399" s="8"/>
      <c r="W399" s="29" t="s">
        <v>274</v>
      </c>
      <c r="X399" s="8"/>
      <c r="AA399" s="14" t="s">
        <v>2218</v>
      </c>
      <c r="AB399" s="15"/>
      <c r="AD399" t="str">
        <f t="shared" si="6"/>
        <v/>
      </c>
    </row>
    <row r="400" spans="1:30" ht="13" customHeight="1" x14ac:dyDescent="0.35">
      <c r="A400" s="7" t="s">
        <v>32</v>
      </c>
      <c r="B400" s="8" t="s">
        <v>48</v>
      </c>
      <c r="C400" s="8"/>
      <c r="D400" s="8" t="s">
        <v>49</v>
      </c>
      <c r="E400" s="29" t="s">
        <v>2219</v>
      </c>
      <c r="F400" s="9" t="s">
        <v>35</v>
      </c>
      <c r="G400" s="8" t="s">
        <v>2220</v>
      </c>
      <c r="I400" s="8" t="s">
        <v>2221</v>
      </c>
      <c r="J400" s="8" t="s">
        <v>123</v>
      </c>
      <c r="K400" s="8" t="s">
        <v>132</v>
      </c>
      <c r="L400" s="11"/>
      <c r="M400" s="11"/>
      <c r="N400" s="11"/>
      <c r="S400" s="8"/>
      <c r="T400" s="8"/>
      <c r="W400" s="29" t="s">
        <v>274</v>
      </c>
      <c r="X400" s="8"/>
      <c r="AA400" s="14" t="s">
        <v>2222</v>
      </c>
      <c r="AB400" s="15"/>
      <c r="AD400" t="str">
        <f t="shared" si="6"/>
        <v/>
      </c>
    </row>
    <row r="401" spans="1:30" ht="13" customHeight="1" x14ac:dyDescent="0.35">
      <c r="A401" s="7" t="s">
        <v>32</v>
      </c>
      <c r="B401" s="8" t="s">
        <v>48</v>
      </c>
      <c r="C401" s="8"/>
      <c r="D401" s="8" t="s">
        <v>49</v>
      </c>
      <c r="E401" s="29" t="s">
        <v>2223</v>
      </c>
      <c r="F401" s="9" t="s">
        <v>51</v>
      </c>
      <c r="G401" s="8" t="s">
        <v>174</v>
      </c>
      <c r="I401" s="8" t="s">
        <v>2224</v>
      </c>
      <c r="J401" s="8" t="s">
        <v>54</v>
      </c>
      <c r="K401" s="8" t="s">
        <v>55</v>
      </c>
      <c r="L401" s="36" t="s">
        <v>2225</v>
      </c>
      <c r="M401" s="11"/>
      <c r="N401" s="11"/>
      <c r="O401" s="31" t="s">
        <v>2226</v>
      </c>
      <c r="P401" s="8" t="s">
        <v>66</v>
      </c>
      <c r="Q401" s="29" t="s">
        <v>2227</v>
      </c>
      <c r="R401" s="29" t="s">
        <v>118</v>
      </c>
      <c r="S401" s="8"/>
      <c r="T401" s="8"/>
      <c r="W401" s="29" t="s">
        <v>274</v>
      </c>
      <c r="X401" s="8"/>
      <c r="AA401" s="14" t="s">
        <v>2228</v>
      </c>
      <c r="AB401" s="15"/>
      <c r="AD401" t="str">
        <f t="shared" si="6"/>
        <v/>
      </c>
    </row>
    <row r="402" spans="1:30" ht="13" customHeight="1" x14ac:dyDescent="0.35">
      <c r="A402" s="7" t="s">
        <v>32</v>
      </c>
      <c r="B402" s="8" t="s">
        <v>48</v>
      </c>
      <c r="C402" s="8"/>
      <c r="D402" s="8" t="s">
        <v>172</v>
      </c>
      <c r="E402" s="8" t="s">
        <v>2229</v>
      </c>
      <c r="F402" s="9" t="s">
        <v>103</v>
      </c>
      <c r="G402" s="8" t="s">
        <v>52</v>
      </c>
      <c r="I402" s="8" t="s">
        <v>2230</v>
      </c>
      <c r="J402" s="8" t="s">
        <v>176</v>
      </c>
      <c r="K402" s="8" t="s">
        <v>132</v>
      </c>
      <c r="L402" s="44" t="s">
        <v>2231</v>
      </c>
      <c r="M402" s="43" t="s">
        <v>2232</v>
      </c>
      <c r="N402" s="44" t="s">
        <v>2233</v>
      </c>
      <c r="O402" s="44"/>
      <c r="P402" s="9"/>
      <c r="Q402" s="9"/>
      <c r="R402" s="9"/>
      <c r="S402" s="8"/>
      <c r="T402" s="8"/>
      <c r="U402" s="8"/>
      <c r="V402" s="8"/>
      <c r="W402" s="8"/>
      <c r="X402" s="8"/>
      <c r="Y402" s="8"/>
      <c r="AA402" s="14" t="s">
        <v>2234</v>
      </c>
      <c r="AD402">
        <f t="shared" si="6"/>
        <v>1</v>
      </c>
    </row>
    <row r="403" spans="1:30" ht="13" customHeight="1" x14ac:dyDescent="0.35">
      <c r="A403" s="7" t="s">
        <v>32</v>
      </c>
      <c r="B403" s="8" t="s">
        <v>33</v>
      </c>
      <c r="C403" s="8"/>
      <c r="E403" s="8" t="s">
        <v>2235</v>
      </c>
      <c r="F403" s="8" t="s">
        <v>103</v>
      </c>
      <c r="G403" s="8" t="s">
        <v>36</v>
      </c>
      <c r="H403" s="10" t="s">
        <v>795</v>
      </c>
      <c r="I403" s="8" t="s">
        <v>2236</v>
      </c>
      <c r="J403" s="8" t="s">
        <v>2093</v>
      </c>
      <c r="L403" s="79" t="s">
        <v>2210</v>
      </c>
      <c r="M403" s="57" t="s">
        <v>2211</v>
      </c>
      <c r="N403" s="10" t="s">
        <v>2212</v>
      </c>
      <c r="O403" s="11" t="s">
        <v>2213</v>
      </c>
      <c r="Q403" s="8"/>
      <c r="R403" s="8"/>
      <c r="S403" s="8"/>
      <c r="T403" s="8"/>
      <c r="U403" s="8"/>
      <c r="V403" s="8"/>
      <c r="W403" s="8"/>
      <c r="X403" s="8"/>
      <c r="Y403" s="13">
        <v>45602</v>
      </c>
      <c r="AA403" s="14" t="s">
        <v>2237</v>
      </c>
      <c r="AB403" s="12" t="s">
        <v>2215</v>
      </c>
      <c r="AD403">
        <f t="shared" si="6"/>
        <v>4</v>
      </c>
    </row>
    <row r="404" spans="1:30" ht="13" customHeight="1" x14ac:dyDescent="0.35">
      <c r="A404" s="88" t="s">
        <v>32</v>
      </c>
      <c r="B404" s="89" t="s">
        <v>33</v>
      </c>
      <c r="C404" s="89"/>
      <c r="D404" s="89"/>
      <c r="E404" s="89" t="s">
        <v>2238</v>
      </c>
      <c r="F404" s="89" t="s">
        <v>103</v>
      </c>
      <c r="G404" s="89" t="s">
        <v>36</v>
      </c>
      <c r="H404" s="90" t="s">
        <v>591</v>
      </c>
      <c r="I404" s="89" t="s">
        <v>2239</v>
      </c>
      <c r="J404" s="89"/>
      <c r="K404" s="89"/>
      <c r="L404" s="91" t="s">
        <v>2240</v>
      </c>
      <c r="M404" s="90"/>
      <c r="N404" s="90"/>
      <c r="O404" s="92" t="s">
        <v>2241</v>
      </c>
      <c r="P404" s="89"/>
      <c r="Q404" s="89"/>
      <c r="R404" s="89"/>
      <c r="S404" s="89"/>
      <c r="T404" s="89"/>
      <c r="U404" s="89"/>
      <c r="V404" s="89"/>
      <c r="W404" s="89"/>
      <c r="X404" s="89"/>
      <c r="Y404" s="93">
        <v>45596</v>
      </c>
      <c r="Z404" s="89" t="s">
        <v>228</v>
      </c>
      <c r="AA404" s="14" t="s">
        <v>2242</v>
      </c>
      <c r="AD404" t="str">
        <f t="shared" si="6"/>
        <v/>
      </c>
    </row>
    <row r="405" spans="1:30" ht="13" customHeight="1" x14ac:dyDescent="0.35">
      <c r="A405" s="88" t="s">
        <v>32</v>
      </c>
      <c r="B405" s="89" t="s">
        <v>33</v>
      </c>
      <c r="C405" s="89"/>
      <c r="D405" s="89"/>
      <c r="E405" s="89" t="s">
        <v>2243</v>
      </c>
      <c r="F405" s="89" t="s">
        <v>103</v>
      </c>
      <c r="G405" s="89" t="s">
        <v>36</v>
      </c>
      <c r="H405" s="90" t="s">
        <v>193</v>
      </c>
      <c r="I405" s="89" t="s">
        <v>2244</v>
      </c>
      <c r="J405" s="89"/>
      <c r="K405" s="89" t="s">
        <v>40</v>
      </c>
      <c r="L405" s="91" t="s">
        <v>2245</v>
      </c>
      <c r="M405" s="90" t="s">
        <v>2246</v>
      </c>
      <c r="N405" s="90" t="s">
        <v>2247</v>
      </c>
      <c r="O405" s="92"/>
      <c r="P405" s="89"/>
      <c r="Q405" s="89"/>
      <c r="R405" s="89"/>
      <c r="S405" s="89"/>
      <c r="T405" s="89"/>
      <c r="U405" s="89"/>
      <c r="V405" s="89"/>
      <c r="W405" s="89"/>
      <c r="X405" s="89"/>
      <c r="Y405" s="93">
        <v>45586</v>
      </c>
      <c r="Z405" s="89" t="s">
        <v>228</v>
      </c>
      <c r="AA405" s="14" t="s">
        <v>2248</v>
      </c>
      <c r="AB405" s="15" t="s">
        <v>2249</v>
      </c>
      <c r="AD405">
        <f t="shared" si="6"/>
        <v>1</v>
      </c>
    </row>
    <row r="406" spans="1:30" ht="13" customHeight="1" x14ac:dyDescent="0.35">
      <c r="A406" s="88" t="s">
        <v>32</v>
      </c>
      <c r="B406" s="89" t="s">
        <v>33</v>
      </c>
      <c r="C406" s="89"/>
      <c r="D406" s="89"/>
      <c r="E406" s="89" t="s">
        <v>2250</v>
      </c>
      <c r="F406" s="89" t="s">
        <v>103</v>
      </c>
      <c r="G406" s="89" t="s">
        <v>36</v>
      </c>
      <c r="H406" s="90" t="s">
        <v>193</v>
      </c>
      <c r="I406" s="89" t="s">
        <v>2251</v>
      </c>
      <c r="J406" s="89"/>
      <c r="K406" s="89" t="s">
        <v>599</v>
      </c>
      <c r="L406" s="91" t="s">
        <v>2245</v>
      </c>
      <c r="M406" s="90" t="s">
        <v>2246</v>
      </c>
      <c r="N406" s="90" t="s">
        <v>2247</v>
      </c>
      <c r="O406" s="92"/>
      <c r="P406" s="89"/>
      <c r="Q406" s="89"/>
      <c r="R406" s="89"/>
      <c r="S406" s="89"/>
      <c r="T406" s="89"/>
      <c r="U406" s="89"/>
      <c r="V406" s="89"/>
      <c r="W406" s="89"/>
      <c r="X406" s="89"/>
      <c r="Y406" s="93">
        <v>45586</v>
      </c>
      <c r="Z406" s="89" t="s">
        <v>228</v>
      </c>
      <c r="AA406" s="14" t="s">
        <v>2252</v>
      </c>
      <c r="AB406" s="15" t="s">
        <v>2253</v>
      </c>
      <c r="AD406">
        <f t="shared" si="6"/>
        <v>1</v>
      </c>
    </row>
    <row r="407" spans="1:30" ht="13" customHeight="1" x14ac:dyDescent="0.35">
      <c r="A407" s="7" t="s">
        <v>32</v>
      </c>
      <c r="B407" s="8" t="s">
        <v>33</v>
      </c>
      <c r="C407" s="8"/>
      <c r="E407" s="8" t="s">
        <v>2254</v>
      </c>
      <c r="F407" s="8" t="s">
        <v>103</v>
      </c>
      <c r="G407" s="8" t="s">
        <v>36</v>
      </c>
      <c r="H407" s="10" t="s">
        <v>795</v>
      </c>
      <c r="I407" s="8" t="s">
        <v>2255</v>
      </c>
      <c r="L407" s="56" t="s">
        <v>2256</v>
      </c>
      <c r="M407" s="72" t="s">
        <v>2257</v>
      </c>
      <c r="N407" s="10"/>
      <c r="O407" s="11" t="s">
        <v>2258</v>
      </c>
      <c r="Q407" s="8"/>
      <c r="R407" s="8"/>
      <c r="S407" s="8"/>
      <c r="T407" s="8"/>
      <c r="U407" s="8"/>
      <c r="V407" s="8"/>
      <c r="W407" s="8"/>
      <c r="X407" s="8"/>
      <c r="Y407" s="13">
        <v>45631</v>
      </c>
      <c r="Z407" s="8" t="s">
        <v>228</v>
      </c>
      <c r="AA407" s="14" t="s">
        <v>2259</v>
      </c>
      <c r="AD407">
        <f t="shared" si="6"/>
        <v>1</v>
      </c>
    </row>
    <row r="408" spans="1:30" ht="13" customHeight="1" x14ac:dyDescent="0.35">
      <c r="A408" s="7" t="s">
        <v>32</v>
      </c>
      <c r="B408" s="8" t="s">
        <v>33</v>
      </c>
      <c r="C408" s="8"/>
      <c r="E408" s="8" t="s">
        <v>2260</v>
      </c>
      <c r="F408" s="9" t="s">
        <v>103</v>
      </c>
      <c r="G408" s="8" t="s">
        <v>36</v>
      </c>
      <c r="H408" s="10" t="s">
        <v>37</v>
      </c>
      <c r="I408" s="8" t="s">
        <v>2261</v>
      </c>
      <c r="J408" s="8" t="s">
        <v>2093</v>
      </c>
      <c r="L408" s="10"/>
      <c r="M408" s="10"/>
      <c r="N408" s="10"/>
      <c r="O408" s="11"/>
      <c r="Q408" s="8"/>
      <c r="R408" s="8"/>
      <c r="S408" s="8"/>
      <c r="T408" s="8"/>
      <c r="U408" s="8"/>
      <c r="V408" s="8"/>
      <c r="W408" s="8"/>
      <c r="X408" s="8"/>
      <c r="Y408" s="13">
        <v>45638</v>
      </c>
      <c r="AA408" s="14" t="s">
        <v>2262</v>
      </c>
      <c r="AB408" s="12" t="s">
        <v>2215</v>
      </c>
      <c r="AD408" t="str">
        <f t="shared" si="6"/>
        <v/>
      </c>
    </row>
    <row r="409" spans="1:30" ht="13" customHeight="1" x14ac:dyDescent="0.35">
      <c r="A409" s="7" t="s">
        <v>32</v>
      </c>
      <c r="B409" s="8" t="s">
        <v>33</v>
      </c>
      <c r="C409" s="8"/>
      <c r="E409" s="8" t="s">
        <v>2263</v>
      </c>
      <c r="F409" s="9" t="s">
        <v>103</v>
      </c>
      <c r="G409" s="8" t="s">
        <v>36</v>
      </c>
      <c r="H409" s="10" t="s">
        <v>440</v>
      </c>
      <c r="I409" s="8" t="s">
        <v>2264</v>
      </c>
      <c r="L409" s="62" t="s">
        <v>2265</v>
      </c>
      <c r="M409" s="10"/>
      <c r="N409" s="10" t="s">
        <v>2266</v>
      </c>
      <c r="O409" s="11" t="s">
        <v>2267</v>
      </c>
      <c r="Q409" s="8"/>
      <c r="R409" s="8"/>
      <c r="S409" s="8"/>
      <c r="T409" s="8"/>
      <c r="U409" s="8"/>
      <c r="V409" s="8"/>
      <c r="W409" s="8"/>
      <c r="X409" s="8"/>
      <c r="Y409" s="13">
        <v>45616</v>
      </c>
      <c r="Z409" s="8" t="s">
        <v>228</v>
      </c>
      <c r="AA409" s="14" t="s">
        <v>2268</v>
      </c>
      <c r="AB409" s="12" t="s">
        <v>2269</v>
      </c>
      <c r="AD409" t="str">
        <f t="shared" si="6"/>
        <v/>
      </c>
    </row>
    <row r="410" spans="1:30" ht="13" customHeight="1" x14ac:dyDescent="0.35">
      <c r="A410" s="7" t="s">
        <v>32</v>
      </c>
      <c r="B410" s="8" t="s">
        <v>33</v>
      </c>
      <c r="C410" s="8"/>
      <c r="E410" s="8" t="s">
        <v>2270</v>
      </c>
      <c r="F410" s="9" t="s">
        <v>103</v>
      </c>
      <c r="G410" s="8" t="s">
        <v>36</v>
      </c>
      <c r="H410" s="10" t="s">
        <v>440</v>
      </c>
      <c r="I410" s="8" t="s">
        <v>2271</v>
      </c>
      <c r="L410" s="62" t="s">
        <v>2265</v>
      </c>
      <c r="M410" s="10"/>
      <c r="N410" s="10" t="s">
        <v>2266</v>
      </c>
      <c r="O410" s="11" t="s">
        <v>2267</v>
      </c>
      <c r="Q410" s="8"/>
      <c r="R410" s="8"/>
      <c r="S410" s="8"/>
      <c r="T410" s="8"/>
      <c r="U410" s="8"/>
      <c r="V410" s="8"/>
      <c r="W410" s="8"/>
      <c r="X410" s="8"/>
      <c r="Y410" s="13">
        <v>45616</v>
      </c>
      <c r="Z410" s="8" t="s">
        <v>228</v>
      </c>
      <c r="AA410" s="14" t="s">
        <v>2272</v>
      </c>
      <c r="AB410" s="12" t="s">
        <v>2269</v>
      </c>
      <c r="AD410" t="str">
        <f t="shared" si="6"/>
        <v/>
      </c>
    </row>
    <row r="411" spans="1:30" ht="13" customHeight="1" x14ac:dyDescent="0.35">
      <c r="A411" s="7" t="s">
        <v>32</v>
      </c>
      <c r="B411" s="8" t="s">
        <v>33</v>
      </c>
      <c r="C411" s="8"/>
      <c r="E411" s="8" t="s">
        <v>2273</v>
      </c>
      <c r="F411" s="9" t="s">
        <v>103</v>
      </c>
      <c r="G411" s="8" t="s">
        <v>36</v>
      </c>
      <c r="H411" s="10" t="s">
        <v>591</v>
      </c>
      <c r="I411" s="8" t="s">
        <v>2274</v>
      </c>
      <c r="L411" s="56" t="s">
        <v>2275</v>
      </c>
      <c r="M411" s="72" t="s">
        <v>2276</v>
      </c>
      <c r="N411" s="10" t="s">
        <v>2277</v>
      </c>
      <c r="O411" s="11" t="s">
        <v>2267</v>
      </c>
      <c r="Q411" s="8"/>
      <c r="R411" s="8"/>
      <c r="S411" s="8"/>
      <c r="T411" s="8"/>
      <c r="U411" s="8"/>
      <c r="V411" s="8"/>
      <c r="W411" s="8"/>
      <c r="X411" s="8"/>
      <c r="Y411" s="13">
        <v>45558</v>
      </c>
      <c r="Z411" s="8" t="s">
        <v>228</v>
      </c>
      <c r="AA411" s="14" t="s">
        <v>2278</v>
      </c>
      <c r="AD411">
        <f t="shared" si="6"/>
        <v>1</v>
      </c>
    </row>
    <row r="412" spans="1:30" ht="13" customHeight="1" x14ac:dyDescent="0.35">
      <c r="A412" s="7" t="s">
        <v>32</v>
      </c>
      <c r="B412" s="8" t="s">
        <v>33</v>
      </c>
      <c r="C412" s="8"/>
      <c r="E412" s="8" t="s">
        <v>2273</v>
      </c>
      <c r="F412" s="9" t="s">
        <v>103</v>
      </c>
      <c r="G412" s="8" t="s">
        <v>36</v>
      </c>
      <c r="H412" s="10" t="s">
        <v>591</v>
      </c>
      <c r="I412" s="8" t="s">
        <v>2279</v>
      </c>
      <c r="L412" s="56" t="s">
        <v>2275</v>
      </c>
      <c r="M412" s="72" t="s">
        <v>2276</v>
      </c>
      <c r="N412" s="10" t="s">
        <v>2277</v>
      </c>
      <c r="O412" s="11" t="s">
        <v>2267</v>
      </c>
      <c r="Q412" s="8"/>
      <c r="R412" s="8"/>
      <c r="S412" s="8"/>
      <c r="T412" s="8"/>
      <c r="U412" s="8"/>
      <c r="V412" s="8"/>
      <c r="W412" s="8"/>
      <c r="X412" s="8"/>
      <c r="Y412" s="13">
        <v>45558</v>
      </c>
      <c r="Z412" s="8" t="s">
        <v>228</v>
      </c>
      <c r="AA412" s="14" t="s">
        <v>2280</v>
      </c>
      <c r="AD412">
        <f t="shared" si="6"/>
        <v>1</v>
      </c>
    </row>
    <row r="413" spans="1:30" ht="13" customHeight="1" x14ac:dyDescent="0.35">
      <c r="A413" s="7" t="s">
        <v>32</v>
      </c>
      <c r="B413" s="8" t="s">
        <v>33</v>
      </c>
      <c r="C413" s="8"/>
      <c r="E413" s="8" t="s">
        <v>2281</v>
      </c>
      <c r="F413" s="9" t="s">
        <v>103</v>
      </c>
      <c r="G413" s="8" t="s">
        <v>36</v>
      </c>
      <c r="H413" s="10" t="s">
        <v>440</v>
      </c>
      <c r="I413" s="8" t="s">
        <v>2282</v>
      </c>
      <c r="L413" s="56" t="s">
        <v>2275</v>
      </c>
      <c r="M413" s="72" t="s">
        <v>2276</v>
      </c>
      <c r="N413" s="10" t="s">
        <v>2277</v>
      </c>
      <c r="O413" s="11" t="s">
        <v>2267</v>
      </c>
      <c r="Q413" s="8"/>
      <c r="R413" s="8"/>
      <c r="S413" s="8"/>
      <c r="T413" s="8"/>
      <c r="U413" s="8"/>
      <c r="V413" s="8"/>
      <c r="W413" s="8"/>
      <c r="X413" s="8"/>
      <c r="Y413" s="13">
        <v>45616</v>
      </c>
      <c r="Z413" s="8" t="s">
        <v>228</v>
      </c>
      <c r="AA413" s="14" t="s">
        <v>2283</v>
      </c>
      <c r="AB413" s="12" t="s">
        <v>2284</v>
      </c>
      <c r="AD413">
        <f t="shared" si="6"/>
        <v>1</v>
      </c>
    </row>
    <row r="414" spans="1:30" ht="13" customHeight="1" x14ac:dyDescent="0.35">
      <c r="A414" s="7" t="s">
        <v>32</v>
      </c>
      <c r="B414" s="8" t="s">
        <v>33</v>
      </c>
      <c r="C414" s="8"/>
      <c r="E414" s="8" t="s">
        <v>2285</v>
      </c>
      <c r="F414" s="9" t="s">
        <v>103</v>
      </c>
      <c r="G414" s="8" t="s">
        <v>36</v>
      </c>
      <c r="H414" s="10" t="s">
        <v>440</v>
      </c>
      <c r="I414" s="8" t="s">
        <v>2286</v>
      </c>
      <c r="L414" s="56" t="s">
        <v>2275</v>
      </c>
      <c r="M414" s="72" t="s">
        <v>2276</v>
      </c>
      <c r="N414" s="11" t="s">
        <v>2277</v>
      </c>
      <c r="O414" s="11" t="s">
        <v>2287</v>
      </c>
      <c r="Q414" s="8"/>
      <c r="R414" s="8"/>
      <c r="S414" s="8"/>
      <c r="T414" s="8"/>
      <c r="U414" s="8"/>
      <c r="V414" s="8"/>
      <c r="W414" s="8"/>
      <c r="X414" s="8"/>
      <c r="Y414" s="13">
        <v>45616</v>
      </c>
      <c r="Z414" s="8" t="s">
        <v>228</v>
      </c>
      <c r="AA414" s="14" t="s">
        <v>2288</v>
      </c>
      <c r="AB414" s="12" t="s">
        <v>2284</v>
      </c>
      <c r="AD414">
        <f t="shared" si="6"/>
        <v>1</v>
      </c>
    </row>
    <row r="415" spans="1:30" ht="13" customHeight="1" x14ac:dyDescent="0.35">
      <c r="A415" s="7" t="s">
        <v>32</v>
      </c>
      <c r="B415" s="8" t="s">
        <v>33</v>
      </c>
      <c r="C415" s="8"/>
      <c r="E415" s="8" t="s">
        <v>2289</v>
      </c>
      <c r="F415" s="9" t="s">
        <v>103</v>
      </c>
      <c r="G415" s="8" t="s">
        <v>36</v>
      </c>
      <c r="H415" s="10" t="s">
        <v>591</v>
      </c>
      <c r="I415" s="8" t="s">
        <v>2290</v>
      </c>
      <c r="L415" s="56" t="s">
        <v>2291</v>
      </c>
      <c r="M415" s="72" t="s">
        <v>1324</v>
      </c>
      <c r="N415" s="10"/>
      <c r="O415" s="11" t="s">
        <v>2292</v>
      </c>
      <c r="Q415" s="8"/>
      <c r="R415" s="8"/>
      <c r="S415" s="8"/>
      <c r="T415" s="8"/>
      <c r="U415" s="8"/>
      <c r="V415" s="8"/>
      <c r="W415" s="8"/>
      <c r="X415" s="8"/>
      <c r="Y415" s="13">
        <v>45558</v>
      </c>
      <c r="Z415" s="8" t="s">
        <v>228</v>
      </c>
      <c r="AA415" s="14" t="s">
        <v>2293</v>
      </c>
      <c r="AD415">
        <f t="shared" si="6"/>
        <v>1</v>
      </c>
    </row>
    <row r="416" spans="1:30" ht="13" customHeight="1" x14ac:dyDescent="0.35">
      <c r="A416" s="88" t="s">
        <v>32</v>
      </c>
      <c r="B416" s="89" t="s">
        <v>33</v>
      </c>
      <c r="C416" s="89"/>
      <c r="D416" s="89"/>
      <c r="E416" s="89" t="s">
        <v>2294</v>
      </c>
      <c r="F416" s="89" t="s">
        <v>103</v>
      </c>
      <c r="G416" s="89" t="s">
        <v>36</v>
      </c>
      <c r="H416" s="90" t="s">
        <v>591</v>
      </c>
      <c r="I416" s="89" t="s">
        <v>2295</v>
      </c>
      <c r="J416" s="89"/>
      <c r="K416" s="89"/>
      <c r="L416" s="90" t="s">
        <v>2296</v>
      </c>
      <c r="M416" s="113"/>
      <c r="N416" s="90"/>
      <c r="O416" s="92" t="s">
        <v>2297</v>
      </c>
      <c r="P416" s="89"/>
      <c r="Q416" s="89"/>
      <c r="R416" s="89"/>
      <c r="S416" s="89"/>
      <c r="T416" s="89"/>
      <c r="U416" s="89"/>
      <c r="V416" s="89"/>
      <c r="W416" s="89"/>
      <c r="X416" s="89"/>
      <c r="Y416" s="93">
        <v>45558</v>
      </c>
      <c r="Z416" s="89" t="s">
        <v>228</v>
      </c>
      <c r="AA416" s="14" t="s">
        <v>2298</v>
      </c>
      <c r="AD416" t="str">
        <f t="shared" si="6"/>
        <v/>
      </c>
    </row>
    <row r="417" spans="1:30" ht="13" customHeight="1" x14ac:dyDescent="0.35">
      <c r="A417" s="88" t="s">
        <v>32</v>
      </c>
      <c r="B417" s="89" t="s">
        <v>33</v>
      </c>
      <c r="C417" s="89"/>
      <c r="D417" s="89"/>
      <c r="E417" s="89" t="s">
        <v>2299</v>
      </c>
      <c r="F417" s="89" t="s">
        <v>103</v>
      </c>
      <c r="G417" s="89" t="s">
        <v>36</v>
      </c>
      <c r="H417" s="90" t="s">
        <v>591</v>
      </c>
      <c r="I417" s="89" t="s">
        <v>2300</v>
      </c>
      <c r="J417" s="89"/>
      <c r="K417" s="89"/>
      <c r="L417" s="103" t="s">
        <v>2301</v>
      </c>
      <c r="M417" s="90"/>
      <c r="N417" s="92"/>
      <c r="O417" s="92" t="s">
        <v>2302</v>
      </c>
      <c r="P417" s="89"/>
      <c r="Q417" s="89"/>
      <c r="R417" s="89"/>
      <c r="S417" s="89"/>
      <c r="T417" s="89"/>
      <c r="U417" s="89"/>
      <c r="V417" s="89"/>
      <c r="W417" s="89"/>
      <c r="X417" s="89"/>
      <c r="Y417" s="93">
        <v>45550</v>
      </c>
      <c r="Z417" s="89"/>
      <c r="AA417" s="14" t="s">
        <v>2303</v>
      </c>
      <c r="AD417" t="str">
        <f t="shared" si="6"/>
        <v/>
      </c>
    </row>
    <row r="418" spans="1:30" ht="13" customHeight="1" x14ac:dyDescent="0.35">
      <c r="A418" s="7" t="s">
        <v>69</v>
      </c>
      <c r="B418" s="8" t="s">
        <v>879</v>
      </c>
      <c r="C418" s="8" t="s">
        <v>880</v>
      </c>
      <c r="E418" s="29" t="s">
        <v>2304</v>
      </c>
      <c r="F418" s="9" t="s">
        <v>145</v>
      </c>
      <c r="H418" s="10" t="s">
        <v>1176</v>
      </c>
      <c r="I418" s="8"/>
      <c r="L418" s="11" t="s">
        <v>2305</v>
      </c>
      <c r="M418" s="11" t="s">
        <v>1307</v>
      </c>
      <c r="N418" s="11" t="s">
        <v>1308</v>
      </c>
      <c r="O418" s="31" t="s">
        <v>2306</v>
      </c>
      <c r="S418" s="8"/>
      <c r="T418" s="8"/>
      <c r="X418" s="8"/>
      <c r="Z418" s="8" t="s">
        <v>802</v>
      </c>
      <c r="AA418" s="14" t="s">
        <v>2307</v>
      </c>
      <c r="AB418" s="15" t="s">
        <v>2308</v>
      </c>
      <c r="AD418">
        <f t="shared" si="6"/>
        <v>2</v>
      </c>
    </row>
    <row r="419" spans="1:30" ht="13" customHeight="1" x14ac:dyDescent="0.35">
      <c r="A419" s="7" t="s">
        <v>32</v>
      </c>
      <c r="B419" s="8" t="s">
        <v>33</v>
      </c>
      <c r="C419" s="8"/>
      <c r="E419" s="29" t="s">
        <v>2309</v>
      </c>
      <c r="F419" s="9" t="s">
        <v>235</v>
      </c>
      <c r="G419" s="8" t="s">
        <v>36</v>
      </c>
      <c r="H419" s="10" t="s">
        <v>193</v>
      </c>
      <c r="I419" s="8" t="s">
        <v>2310</v>
      </c>
      <c r="J419" s="8" t="s">
        <v>815</v>
      </c>
      <c r="K419" s="8" t="s">
        <v>40</v>
      </c>
      <c r="L419" s="11" t="s">
        <v>2311</v>
      </c>
      <c r="M419" s="11" t="s">
        <v>2312</v>
      </c>
      <c r="N419" s="11" t="s">
        <v>2313</v>
      </c>
      <c r="O419" s="31" t="s">
        <v>1632</v>
      </c>
      <c r="S419" s="8"/>
      <c r="T419" s="8"/>
      <c r="X419" s="8"/>
      <c r="Y419" s="13">
        <v>45583</v>
      </c>
      <c r="Z419" s="8" t="s">
        <v>228</v>
      </c>
      <c r="AA419" s="14" t="s">
        <v>2314</v>
      </c>
      <c r="AB419" s="15" t="s">
        <v>2315</v>
      </c>
      <c r="AD419">
        <f t="shared" si="6"/>
        <v>3</v>
      </c>
    </row>
    <row r="420" spans="1:30" ht="13" customHeight="1" x14ac:dyDescent="0.35">
      <c r="A420" s="7" t="s">
        <v>32</v>
      </c>
      <c r="B420" s="8" t="s">
        <v>33</v>
      </c>
      <c r="C420" s="8"/>
      <c r="E420" s="29" t="s">
        <v>2309</v>
      </c>
      <c r="F420" s="9" t="s">
        <v>235</v>
      </c>
      <c r="G420" s="8" t="s">
        <v>36</v>
      </c>
      <c r="H420" s="10" t="s">
        <v>193</v>
      </c>
      <c r="I420" s="8" t="s">
        <v>2316</v>
      </c>
      <c r="J420" s="8" t="s">
        <v>39</v>
      </c>
      <c r="K420" s="8" t="s">
        <v>40</v>
      </c>
      <c r="L420" s="11" t="s">
        <v>2311</v>
      </c>
      <c r="M420" s="11" t="s">
        <v>2312</v>
      </c>
      <c r="N420" s="11" t="s">
        <v>2313</v>
      </c>
      <c r="O420" s="31" t="s">
        <v>1632</v>
      </c>
      <c r="S420" s="8"/>
      <c r="T420" s="8"/>
      <c r="X420" s="8"/>
      <c r="Y420" s="13">
        <v>45583</v>
      </c>
      <c r="Z420" s="8" t="s">
        <v>228</v>
      </c>
      <c r="AA420" s="14" t="s">
        <v>2317</v>
      </c>
      <c r="AB420" s="15" t="s">
        <v>2318</v>
      </c>
      <c r="AD420">
        <f t="shared" si="6"/>
        <v>3</v>
      </c>
    </row>
    <row r="421" spans="1:30" ht="13" customHeight="1" x14ac:dyDescent="0.35">
      <c r="A421" s="7" t="s">
        <v>32</v>
      </c>
      <c r="B421" s="8" t="s">
        <v>33</v>
      </c>
      <c r="C421" s="8"/>
      <c r="E421" s="29" t="s">
        <v>2319</v>
      </c>
      <c r="F421" s="9" t="s">
        <v>235</v>
      </c>
      <c r="G421" s="8" t="s">
        <v>36</v>
      </c>
      <c r="H421" s="10" t="s">
        <v>193</v>
      </c>
      <c r="I421" s="8" t="s">
        <v>2320</v>
      </c>
      <c r="J421" s="8" t="s">
        <v>432</v>
      </c>
      <c r="L421" s="11" t="s">
        <v>927</v>
      </c>
      <c r="M421" s="11" t="s">
        <v>2321</v>
      </c>
      <c r="N421" s="11" t="s">
        <v>2322</v>
      </c>
      <c r="O421" s="31" t="s">
        <v>2323</v>
      </c>
      <c r="S421" s="8"/>
      <c r="T421" s="8"/>
      <c r="W421" s="29" t="s">
        <v>274</v>
      </c>
      <c r="X421" s="8"/>
      <c r="Y421" s="13">
        <v>45581</v>
      </c>
      <c r="AA421" s="14" t="s">
        <v>2324</v>
      </c>
      <c r="AB421" s="15"/>
      <c r="AD421">
        <f t="shared" si="6"/>
        <v>3</v>
      </c>
    </row>
    <row r="422" spans="1:30" ht="13" customHeight="1" x14ac:dyDescent="0.35">
      <c r="A422" s="7" t="s">
        <v>32</v>
      </c>
      <c r="B422" s="8" t="s">
        <v>438</v>
      </c>
      <c r="C422" s="8"/>
      <c r="E422" s="8" t="s">
        <v>2325</v>
      </c>
      <c r="F422" s="9" t="s">
        <v>235</v>
      </c>
      <c r="G422" s="8" t="s">
        <v>336</v>
      </c>
      <c r="H422" s="10" t="s">
        <v>440</v>
      </c>
      <c r="I422" s="8" t="s">
        <v>2326</v>
      </c>
      <c r="J422" s="8" t="s">
        <v>432</v>
      </c>
      <c r="K422" s="8" t="s">
        <v>40</v>
      </c>
      <c r="L422" s="10" t="s">
        <v>2327</v>
      </c>
      <c r="M422" s="11" t="s">
        <v>2328</v>
      </c>
      <c r="N422" s="10" t="s">
        <v>2329</v>
      </c>
      <c r="O422" s="11" t="s">
        <v>2330</v>
      </c>
      <c r="Q422" s="8"/>
      <c r="R422" s="8"/>
      <c r="S422" s="8"/>
      <c r="T422" s="8"/>
      <c r="U422" s="8"/>
      <c r="V422" s="8"/>
      <c r="W422" s="8"/>
      <c r="X422" s="8"/>
      <c r="Y422" s="13">
        <v>45645</v>
      </c>
      <c r="Z422" s="8" t="s">
        <v>228</v>
      </c>
      <c r="AA422" s="14" t="s">
        <v>2331</v>
      </c>
      <c r="AB422" s="15" t="s">
        <v>2332</v>
      </c>
      <c r="AD422">
        <f t="shared" si="6"/>
        <v>3</v>
      </c>
    </row>
    <row r="423" spans="1:30" ht="13" customHeight="1" x14ac:dyDescent="0.35">
      <c r="A423" s="7" t="s">
        <v>32</v>
      </c>
      <c r="B423" s="8" t="s">
        <v>33</v>
      </c>
      <c r="C423" s="8"/>
      <c r="E423" s="29" t="s">
        <v>2333</v>
      </c>
      <c r="F423" s="9" t="s">
        <v>235</v>
      </c>
      <c r="G423" s="8" t="s">
        <v>36</v>
      </c>
      <c r="H423" s="10" t="s">
        <v>440</v>
      </c>
      <c r="I423" s="8" t="s">
        <v>2334</v>
      </c>
      <c r="J423" s="8" t="s">
        <v>987</v>
      </c>
      <c r="K423" s="8" t="s">
        <v>1142</v>
      </c>
      <c r="L423" s="11" t="s">
        <v>1999</v>
      </c>
      <c r="M423" s="11" t="s">
        <v>2335</v>
      </c>
      <c r="N423" s="11" t="s">
        <v>435</v>
      </c>
      <c r="O423" s="31" t="s">
        <v>2336</v>
      </c>
      <c r="S423" s="8"/>
      <c r="T423" s="8"/>
      <c r="W423" s="29" t="s">
        <v>274</v>
      </c>
      <c r="X423" s="8"/>
      <c r="Y423" s="13">
        <v>45610</v>
      </c>
      <c r="AA423" s="14" t="s">
        <v>2337</v>
      </c>
      <c r="AB423" s="15" t="s">
        <v>2338</v>
      </c>
      <c r="AD423">
        <f t="shared" si="6"/>
        <v>2</v>
      </c>
    </row>
    <row r="424" spans="1:30" ht="13" customHeight="1" x14ac:dyDescent="0.35">
      <c r="A424" s="7" t="s">
        <v>32</v>
      </c>
      <c r="B424" s="8" t="s">
        <v>33</v>
      </c>
      <c r="C424" s="8"/>
      <c r="E424" s="29" t="s">
        <v>2339</v>
      </c>
      <c r="F424" s="9" t="s">
        <v>235</v>
      </c>
      <c r="G424" s="8" t="s">
        <v>36</v>
      </c>
      <c r="H424" s="10" t="s">
        <v>193</v>
      </c>
      <c r="I424" s="8" t="s">
        <v>2340</v>
      </c>
      <c r="K424" s="8" t="s">
        <v>160</v>
      </c>
      <c r="L424" s="11" t="s">
        <v>577</v>
      </c>
      <c r="M424" s="11" t="s">
        <v>2341</v>
      </c>
      <c r="N424" s="11" t="s">
        <v>2342</v>
      </c>
      <c r="O424" s="31" t="s">
        <v>2343</v>
      </c>
      <c r="S424" s="8"/>
      <c r="T424" s="8"/>
      <c r="W424" s="29" t="s">
        <v>274</v>
      </c>
      <c r="X424" s="8"/>
      <c r="Y424" s="13">
        <v>45581</v>
      </c>
      <c r="Z424" s="8" t="s">
        <v>228</v>
      </c>
      <c r="AA424" s="14" t="s">
        <v>2344</v>
      </c>
      <c r="AB424" s="15" t="s">
        <v>2345</v>
      </c>
      <c r="AD424">
        <f t="shared" si="6"/>
        <v>2</v>
      </c>
    </row>
    <row r="425" spans="1:30" ht="13" customHeight="1" x14ac:dyDescent="0.35">
      <c r="A425" s="7" t="s">
        <v>32</v>
      </c>
      <c r="B425" s="8" t="s">
        <v>438</v>
      </c>
      <c r="C425" s="8"/>
      <c r="E425" s="29" t="s">
        <v>2333</v>
      </c>
      <c r="F425" s="9" t="s">
        <v>235</v>
      </c>
      <c r="G425" s="8" t="s">
        <v>36</v>
      </c>
      <c r="H425" s="10" t="s">
        <v>440</v>
      </c>
      <c r="I425" s="8" t="s">
        <v>1984</v>
      </c>
      <c r="J425" s="8" t="s">
        <v>2346</v>
      </c>
      <c r="K425" s="8" t="s">
        <v>160</v>
      </c>
      <c r="L425" s="11" t="s">
        <v>1999</v>
      </c>
      <c r="M425" s="11" t="s">
        <v>2335</v>
      </c>
      <c r="N425" s="10" t="s">
        <v>435</v>
      </c>
      <c r="O425" s="31" t="s">
        <v>2336</v>
      </c>
      <c r="S425" s="8"/>
      <c r="T425" s="8"/>
      <c r="W425" s="29" t="s">
        <v>274</v>
      </c>
      <c r="X425" s="8"/>
      <c r="Y425" s="13">
        <v>45610</v>
      </c>
      <c r="AA425" s="14" t="s">
        <v>2347</v>
      </c>
      <c r="AB425" s="15" t="s">
        <v>2348</v>
      </c>
      <c r="AD425">
        <f t="shared" si="6"/>
        <v>2</v>
      </c>
    </row>
    <row r="426" spans="1:30" ht="13" customHeight="1" x14ac:dyDescent="0.35">
      <c r="A426" s="7" t="s">
        <v>32</v>
      </c>
      <c r="B426" s="8" t="s">
        <v>33</v>
      </c>
      <c r="C426" s="8"/>
      <c r="E426" s="8" t="s">
        <v>2349</v>
      </c>
      <c r="F426" s="9" t="s">
        <v>235</v>
      </c>
      <c r="G426" s="8" t="s">
        <v>36</v>
      </c>
      <c r="H426" s="10" t="s">
        <v>193</v>
      </c>
      <c r="I426" s="8" t="s">
        <v>2350</v>
      </c>
      <c r="J426" s="8" t="s">
        <v>45</v>
      </c>
      <c r="K426" s="8" t="s">
        <v>40</v>
      </c>
      <c r="L426" s="62" t="s">
        <v>2351</v>
      </c>
      <c r="M426" s="10" t="s">
        <v>2352</v>
      </c>
      <c r="N426" s="10"/>
      <c r="O426" s="11" t="s">
        <v>2353</v>
      </c>
      <c r="Q426" s="8"/>
      <c r="R426" s="8"/>
      <c r="S426" s="8"/>
      <c r="T426" s="8"/>
      <c r="U426" s="8"/>
      <c r="V426" s="8"/>
      <c r="W426" s="8"/>
      <c r="X426" s="8"/>
      <c r="Y426" s="13">
        <v>45582</v>
      </c>
      <c r="Z426" s="8" t="s">
        <v>228</v>
      </c>
      <c r="AA426" s="14" t="s">
        <v>2354</v>
      </c>
      <c r="AB426" s="15" t="s">
        <v>2355</v>
      </c>
      <c r="AD426">
        <f t="shared" si="6"/>
        <v>1</v>
      </c>
    </row>
    <row r="427" spans="1:30" ht="13" customHeight="1" x14ac:dyDescent="0.35">
      <c r="A427" s="7" t="s">
        <v>32</v>
      </c>
      <c r="B427" s="8" t="s">
        <v>438</v>
      </c>
      <c r="C427" s="8"/>
      <c r="E427" s="29" t="s">
        <v>2356</v>
      </c>
      <c r="F427" s="9" t="s">
        <v>235</v>
      </c>
      <c r="G427" s="8" t="s">
        <v>336</v>
      </c>
      <c r="H427" s="10" t="s">
        <v>440</v>
      </c>
      <c r="I427" s="8" t="s">
        <v>2357</v>
      </c>
      <c r="J427" s="8" t="s">
        <v>1210</v>
      </c>
      <c r="K427" s="8" t="s">
        <v>40</v>
      </c>
      <c r="L427" s="11" t="s">
        <v>2358</v>
      </c>
      <c r="M427" s="11" t="s">
        <v>2359</v>
      </c>
      <c r="N427" s="10" t="s">
        <v>1723</v>
      </c>
      <c r="O427" s="31" t="s">
        <v>2360</v>
      </c>
      <c r="S427" s="8"/>
      <c r="T427" s="8"/>
      <c r="W427" s="29" t="s">
        <v>274</v>
      </c>
      <c r="X427" s="8"/>
      <c r="Y427" s="13">
        <v>45610</v>
      </c>
      <c r="AA427" s="14" t="s">
        <v>2361</v>
      </c>
      <c r="AB427" s="15" t="s">
        <v>2362</v>
      </c>
      <c r="AD427">
        <f t="shared" si="6"/>
        <v>2</v>
      </c>
    </row>
    <row r="428" spans="1:30" ht="13" customHeight="1" x14ac:dyDescent="0.35">
      <c r="A428" s="7" t="s">
        <v>32</v>
      </c>
      <c r="B428" s="8" t="s">
        <v>48</v>
      </c>
      <c r="C428" s="8"/>
      <c r="D428" s="8" t="s">
        <v>172</v>
      </c>
      <c r="E428" s="8" t="s">
        <v>2363</v>
      </c>
      <c r="F428" s="9" t="s">
        <v>103</v>
      </c>
      <c r="G428" s="8" t="s">
        <v>52</v>
      </c>
      <c r="I428" s="8" t="s">
        <v>2364</v>
      </c>
      <c r="J428" s="8" t="s">
        <v>176</v>
      </c>
      <c r="K428" s="8" t="s">
        <v>55</v>
      </c>
      <c r="L428" s="11" t="s">
        <v>2231</v>
      </c>
      <c r="M428" s="10" t="s">
        <v>2232</v>
      </c>
      <c r="N428" s="11" t="s">
        <v>2233</v>
      </c>
      <c r="O428" s="11" t="s">
        <v>2365</v>
      </c>
      <c r="P428" s="8" t="s">
        <v>66</v>
      </c>
      <c r="Q428" s="8" t="s">
        <v>67</v>
      </c>
      <c r="R428" s="8" t="s">
        <v>118</v>
      </c>
      <c r="S428" s="8"/>
      <c r="T428" s="8"/>
      <c r="U428" s="8"/>
      <c r="V428" s="8"/>
      <c r="W428" s="8"/>
      <c r="X428" s="8"/>
      <c r="Y428" s="8"/>
      <c r="AA428" s="14" t="s">
        <v>2366</v>
      </c>
      <c r="AD428">
        <f t="shared" si="6"/>
        <v>1</v>
      </c>
    </row>
    <row r="429" spans="1:30" ht="13" customHeight="1" x14ac:dyDescent="0.35">
      <c r="A429" s="7" t="s">
        <v>32</v>
      </c>
      <c r="B429" s="8" t="s">
        <v>70</v>
      </c>
      <c r="C429" s="8"/>
      <c r="D429" s="8" t="s">
        <v>120</v>
      </c>
      <c r="E429" s="34" t="s">
        <v>2367</v>
      </c>
      <c r="F429" s="9" t="s">
        <v>103</v>
      </c>
      <c r="G429" s="34" t="s">
        <v>1498</v>
      </c>
      <c r="H429" s="35"/>
      <c r="I429" s="34" t="s">
        <v>2368</v>
      </c>
      <c r="J429" s="34" t="s">
        <v>123</v>
      </c>
      <c r="K429" s="34"/>
      <c r="L429" s="35" t="s">
        <v>2369</v>
      </c>
      <c r="M429" s="35" t="s">
        <v>1507</v>
      </c>
      <c r="N429" s="35" t="s">
        <v>2370</v>
      </c>
      <c r="O429" s="36" t="s">
        <v>2371</v>
      </c>
      <c r="P429" s="34" t="s">
        <v>66</v>
      </c>
      <c r="Q429" s="34" t="s">
        <v>2227</v>
      </c>
      <c r="R429" s="34" t="s">
        <v>118</v>
      </c>
      <c r="S429" s="8"/>
      <c r="T429" s="8"/>
      <c r="U429" s="8"/>
      <c r="V429" s="8"/>
      <c r="W429" s="8"/>
      <c r="X429" s="8"/>
      <c r="Y429" s="8"/>
      <c r="AA429" s="14" t="s">
        <v>2372</v>
      </c>
      <c r="AB429" s="15" t="s">
        <v>2373</v>
      </c>
      <c r="AD429">
        <f t="shared" si="6"/>
        <v>1</v>
      </c>
    </row>
    <row r="430" spans="1:30" ht="13" customHeight="1" x14ac:dyDescent="0.35">
      <c r="A430" s="7" t="s">
        <v>32</v>
      </c>
      <c r="B430" s="8" t="s">
        <v>438</v>
      </c>
      <c r="C430" s="8"/>
      <c r="E430" s="8" t="s">
        <v>2374</v>
      </c>
      <c r="F430" s="8" t="s">
        <v>235</v>
      </c>
      <c r="G430" s="8" t="s">
        <v>36</v>
      </c>
      <c r="H430" s="10" t="s">
        <v>440</v>
      </c>
      <c r="I430" s="8" t="s">
        <v>2375</v>
      </c>
      <c r="J430" s="8" t="s">
        <v>432</v>
      </c>
      <c r="K430" s="8" t="s">
        <v>40</v>
      </c>
      <c r="L430" s="56" t="s">
        <v>2376</v>
      </c>
      <c r="M430" s="57" t="s">
        <v>2377</v>
      </c>
      <c r="N430" s="11" t="s">
        <v>2378</v>
      </c>
      <c r="O430" s="11" t="s">
        <v>2379</v>
      </c>
      <c r="Q430" s="8"/>
      <c r="R430" s="8"/>
      <c r="S430" s="8"/>
      <c r="T430" s="8"/>
      <c r="U430" s="8"/>
      <c r="V430" s="8"/>
      <c r="W430" s="8"/>
      <c r="X430" s="8"/>
      <c r="Y430" s="13">
        <v>45610</v>
      </c>
      <c r="AA430" s="14" t="s">
        <v>2380</v>
      </c>
      <c r="AB430" s="15" t="s">
        <v>2381</v>
      </c>
      <c r="AD430">
        <f t="shared" si="6"/>
        <v>3</v>
      </c>
    </row>
    <row r="431" spans="1:30" ht="13" customHeight="1" x14ac:dyDescent="0.35">
      <c r="A431" s="7" t="s">
        <v>32</v>
      </c>
      <c r="B431" s="8" t="s">
        <v>438</v>
      </c>
      <c r="C431" s="8"/>
      <c r="E431" s="8" t="s">
        <v>2382</v>
      </c>
      <c r="F431" s="9" t="s">
        <v>235</v>
      </c>
      <c r="G431" s="8" t="s">
        <v>336</v>
      </c>
      <c r="H431" s="10" t="s">
        <v>440</v>
      </c>
      <c r="I431" s="8" t="s">
        <v>2383</v>
      </c>
      <c r="J431" s="8" t="s">
        <v>1358</v>
      </c>
      <c r="K431" s="8" t="s">
        <v>40</v>
      </c>
      <c r="L431" s="10" t="s">
        <v>2384</v>
      </c>
      <c r="M431" s="10" t="s">
        <v>2385</v>
      </c>
      <c r="N431" s="10"/>
      <c r="O431" s="11" t="s">
        <v>2386</v>
      </c>
      <c r="Q431" s="8"/>
      <c r="R431" s="8"/>
      <c r="S431" s="8"/>
      <c r="T431" s="8"/>
      <c r="U431" s="8"/>
      <c r="V431" s="8"/>
      <c r="W431" s="8"/>
      <c r="X431" s="8"/>
      <c r="Y431" s="13">
        <v>45616</v>
      </c>
      <c r="Z431" s="8" t="s">
        <v>228</v>
      </c>
      <c r="AA431" s="14" t="s">
        <v>2387</v>
      </c>
      <c r="AB431" s="15" t="s">
        <v>2388</v>
      </c>
      <c r="AD431">
        <f t="shared" si="6"/>
        <v>1</v>
      </c>
    </row>
    <row r="432" spans="1:30" ht="13" customHeight="1" x14ac:dyDescent="0.35">
      <c r="A432" s="7" t="s">
        <v>32</v>
      </c>
      <c r="B432" s="8" t="s">
        <v>33</v>
      </c>
      <c r="C432" s="8"/>
      <c r="E432" s="8" t="s">
        <v>2389</v>
      </c>
      <c r="F432" s="9" t="s">
        <v>235</v>
      </c>
      <c r="G432" s="8" t="s">
        <v>336</v>
      </c>
      <c r="H432" s="10" t="s">
        <v>685</v>
      </c>
      <c r="I432" s="8" t="s">
        <v>2390</v>
      </c>
      <c r="J432" s="8" t="s">
        <v>195</v>
      </c>
      <c r="K432" s="8" t="s">
        <v>40</v>
      </c>
      <c r="L432" s="10"/>
      <c r="M432" s="10" t="s">
        <v>2391</v>
      </c>
      <c r="N432" s="10"/>
      <c r="O432" s="55" t="s">
        <v>2392</v>
      </c>
      <c r="Q432" s="8"/>
      <c r="R432" s="8"/>
      <c r="S432" s="8"/>
      <c r="T432" s="8"/>
      <c r="U432" s="8"/>
      <c r="V432" s="8"/>
      <c r="W432" s="8"/>
      <c r="X432" s="8"/>
      <c r="Y432" s="13">
        <v>45583</v>
      </c>
      <c r="AA432" s="14" t="s">
        <v>2393</v>
      </c>
      <c r="AB432" s="15" t="s">
        <v>2394</v>
      </c>
      <c r="AD432">
        <f t="shared" si="6"/>
        <v>1</v>
      </c>
    </row>
    <row r="433" spans="1:30" ht="13" customHeight="1" x14ac:dyDescent="0.35">
      <c r="A433" s="7" t="s">
        <v>32</v>
      </c>
      <c r="B433" s="8" t="s">
        <v>33</v>
      </c>
      <c r="C433" s="8"/>
      <c r="E433" s="8" t="s">
        <v>2395</v>
      </c>
      <c r="F433" s="9" t="s">
        <v>235</v>
      </c>
      <c r="G433" s="8" t="s">
        <v>36</v>
      </c>
      <c r="H433" s="10" t="s">
        <v>440</v>
      </c>
      <c r="I433" s="8" t="s">
        <v>2396</v>
      </c>
      <c r="J433" s="8" t="s">
        <v>894</v>
      </c>
      <c r="K433" s="8" t="s">
        <v>1142</v>
      </c>
      <c r="L433" s="62" t="s">
        <v>2397</v>
      </c>
      <c r="M433" s="10" t="s">
        <v>2398</v>
      </c>
      <c r="N433" s="10"/>
      <c r="O433" s="11" t="s">
        <v>2399</v>
      </c>
      <c r="Q433" s="8"/>
      <c r="R433" s="8"/>
      <c r="S433" s="8"/>
      <c r="T433" s="8"/>
      <c r="U433" s="8"/>
      <c r="V433" s="8"/>
      <c r="W433" s="8"/>
      <c r="X433" s="8"/>
      <c r="Y433" s="13">
        <v>45616</v>
      </c>
      <c r="AA433" s="14" t="s">
        <v>2400</v>
      </c>
      <c r="AB433" s="15" t="s">
        <v>2401</v>
      </c>
      <c r="AD433">
        <f t="shared" si="6"/>
        <v>1</v>
      </c>
    </row>
    <row r="434" spans="1:30" ht="13" customHeight="1" x14ac:dyDescent="0.35">
      <c r="A434" s="7" t="s">
        <v>32</v>
      </c>
      <c r="B434" s="8" t="s">
        <v>33</v>
      </c>
      <c r="C434" s="8"/>
      <c r="E434" s="8" t="s">
        <v>2395</v>
      </c>
      <c r="F434" s="9" t="s">
        <v>235</v>
      </c>
      <c r="G434" s="8" t="s">
        <v>336</v>
      </c>
      <c r="H434" s="10" t="s">
        <v>440</v>
      </c>
      <c r="I434" s="8" t="s">
        <v>2402</v>
      </c>
      <c r="J434" s="8" t="s">
        <v>751</v>
      </c>
      <c r="K434" s="8" t="s">
        <v>160</v>
      </c>
      <c r="L434" s="62" t="s">
        <v>2397</v>
      </c>
      <c r="M434" s="10" t="s">
        <v>2398</v>
      </c>
      <c r="N434" s="10"/>
      <c r="O434" s="11" t="s">
        <v>2399</v>
      </c>
      <c r="Q434" s="8"/>
      <c r="R434" s="8"/>
      <c r="S434" s="8"/>
      <c r="T434" s="8"/>
      <c r="U434" s="8"/>
      <c r="V434" s="8"/>
      <c r="W434" s="8"/>
      <c r="X434" s="8"/>
      <c r="Y434" s="13">
        <v>45616</v>
      </c>
      <c r="AA434" s="14" t="s">
        <v>2403</v>
      </c>
      <c r="AB434" s="15" t="s">
        <v>2404</v>
      </c>
      <c r="AD434">
        <f t="shared" si="6"/>
        <v>1</v>
      </c>
    </row>
    <row r="435" spans="1:30" ht="13" customHeight="1" x14ac:dyDescent="0.35">
      <c r="A435" s="7" t="s">
        <v>32</v>
      </c>
      <c r="B435" s="8" t="s">
        <v>33</v>
      </c>
      <c r="C435" s="8"/>
      <c r="E435" s="29" t="s">
        <v>2405</v>
      </c>
      <c r="F435" s="9" t="s">
        <v>73</v>
      </c>
      <c r="G435" s="8" t="s">
        <v>36</v>
      </c>
      <c r="H435" s="10" t="s">
        <v>795</v>
      </c>
      <c r="I435" s="8" t="s">
        <v>2406</v>
      </c>
      <c r="J435" s="8" t="s">
        <v>894</v>
      </c>
      <c r="K435" s="8" t="s">
        <v>40</v>
      </c>
      <c r="L435" s="11" t="s">
        <v>2407</v>
      </c>
      <c r="M435" s="11" t="s">
        <v>2408</v>
      </c>
      <c r="N435" s="11"/>
      <c r="O435" s="31" t="s">
        <v>2409</v>
      </c>
      <c r="S435" s="8"/>
      <c r="T435" s="8"/>
      <c r="W435" s="29" t="s">
        <v>274</v>
      </c>
      <c r="X435" s="8"/>
      <c r="Y435" s="13">
        <v>45550</v>
      </c>
      <c r="AA435" s="14" t="s">
        <v>2410</v>
      </c>
      <c r="AB435" s="15" t="s">
        <v>2411</v>
      </c>
      <c r="AD435">
        <f t="shared" si="6"/>
        <v>3</v>
      </c>
    </row>
    <row r="436" spans="1:30" ht="13" customHeight="1" x14ac:dyDescent="0.35">
      <c r="A436" s="7" t="s">
        <v>32</v>
      </c>
      <c r="B436" s="8" t="s">
        <v>438</v>
      </c>
      <c r="C436" s="8"/>
      <c r="E436" s="8" t="s">
        <v>2412</v>
      </c>
      <c r="F436" s="9" t="s">
        <v>235</v>
      </c>
      <c r="G436" s="8" t="s">
        <v>336</v>
      </c>
      <c r="H436" s="10" t="s">
        <v>440</v>
      </c>
      <c r="I436" s="8" t="s">
        <v>2413</v>
      </c>
      <c r="J436" s="8" t="s">
        <v>1365</v>
      </c>
      <c r="K436" s="8" t="s">
        <v>40</v>
      </c>
      <c r="L436" s="10" t="s">
        <v>2157</v>
      </c>
      <c r="M436" s="10" t="s">
        <v>2414</v>
      </c>
      <c r="N436" s="10"/>
      <c r="O436" s="11" t="s">
        <v>2157</v>
      </c>
      <c r="Q436" s="8"/>
      <c r="R436" s="8"/>
      <c r="S436" s="8"/>
      <c r="T436" s="8"/>
      <c r="U436" s="8"/>
      <c r="V436" s="8"/>
      <c r="W436" s="8"/>
      <c r="X436" s="8"/>
      <c r="Y436" s="13">
        <v>45616</v>
      </c>
      <c r="AA436" s="14" t="s">
        <v>2415</v>
      </c>
      <c r="AB436" s="15" t="s">
        <v>2416</v>
      </c>
      <c r="AD436">
        <f t="shared" si="6"/>
        <v>1</v>
      </c>
    </row>
    <row r="437" spans="1:30" ht="13" customHeight="1" x14ac:dyDescent="0.35">
      <c r="A437" s="7" t="s">
        <v>32</v>
      </c>
      <c r="B437" s="8" t="s">
        <v>48</v>
      </c>
      <c r="C437" s="8"/>
      <c r="D437" s="8" t="s">
        <v>49</v>
      </c>
      <c r="E437" s="16" t="s">
        <v>2417</v>
      </c>
      <c r="F437" s="9" t="s">
        <v>103</v>
      </c>
      <c r="G437" s="8" t="s">
        <v>52</v>
      </c>
      <c r="I437" s="16" t="s">
        <v>2418</v>
      </c>
      <c r="J437" s="16" t="s">
        <v>54</v>
      </c>
      <c r="K437" s="8" t="s">
        <v>55</v>
      </c>
      <c r="L437" s="114" t="s">
        <v>2419</v>
      </c>
      <c r="M437" s="19" t="s">
        <v>1507</v>
      </c>
      <c r="N437" s="19" t="s">
        <v>2370</v>
      </c>
      <c r="O437" s="19" t="s">
        <v>2420</v>
      </c>
      <c r="P437" s="16" t="s">
        <v>66</v>
      </c>
      <c r="Q437" s="16" t="s">
        <v>2227</v>
      </c>
      <c r="R437" s="16" t="s">
        <v>60</v>
      </c>
      <c r="S437" s="8"/>
      <c r="T437" s="8"/>
      <c r="U437" s="8"/>
      <c r="V437" s="8"/>
      <c r="W437" s="8"/>
      <c r="X437" s="8"/>
      <c r="Y437" s="8"/>
      <c r="AA437" s="14" t="s">
        <v>2421</v>
      </c>
      <c r="AB437" s="12" t="s">
        <v>2422</v>
      </c>
      <c r="AD437">
        <f t="shared" si="6"/>
        <v>1</v>
      </c>
    </row>
    <row r="438" spans="1:30" ht="13" customHeight="1" x14ac:dyDescent="0.35">
      <c r="A438" s="7" t="s">
        <v>69</v>
      </c>
      <c r="B438" s="8" t="s">
        <v>48</v>
      </c>
      <c r="C438" s="8"/>
      <c r="D438" s="8" t="s">
        <v>2423</v>
      </c>
      <c r="E438" s="29" t="s">
        <v>2424</v>
      </c>
      <c r="F438" s="9" t="s">
        <v>2425</v>
      </c>
      <c r="I438" s="30" t="s">
        <v>2426</v>
      </c>
      <c r="L438" s="115" t="s">
        <v>2427</v>
      </c>
      <c r="M438" s="115" t="s">
        <v>552</v>
      </c>
      <c r="N438" s="115" t="s">
        <v>2428</v>
      </c>
      <c r="O438" s="31" t="s">
        <v>2429</v>
      </c>
      <c r="P438" s="8" t="s">
        <v>2430</v>
      </c>
      <c r="Q438" s="29" t="s">
        <v>2431</v>
      </c>
      <c r="R438" s="29" t="s">
        <v>88</v>
      </c>
      <c r="S438" s="33" t="s">
        <v>2432</v>
      </c>
      <c r="T438" s="33" t="s">
        <v>2433</v>
      </c>
      <c r="U438" s="29" t="s">
        <v>2434</v>
      </c>
      <c r="V438" s="33"/>
      <c r="X438" s="86" t="s">
        <v>2435</v>
      </c>
      <c r="Y438" s="8"/>
      <c r="Z438" s="8" t="s">
        <v>2436</v>
      </c>
      <c r="AA438" s="14" t="s">
        <v>2437</v>
      </c>
      <c r="AB438" s="12" t="s">
        <v>2438</v>
      </c>
      <c r="AD438">
        <f t="shared" si="6"/>
        <v>1</v>
      </c>
    </row>
    <row r="439" spans="1:30" ht="13" customHeight="1" x14ac:dyDescent="0.35">
      <c r="A439" s="7" t="s">
        <v>69</v>
      </c>
      <c r="B439" s="8" t="s">
        <v>70</v>
      </c>
      <c r="C439" s="8"/>
      <c r="D439" s="8" t="s">
        <v>2439</v>
      </c>
      <c r="E439" s="29" t="s">
        <v>2424</v>
      </c>
      <c r="F439" s="9" t="s">
        <v>2425</v>
      </c>
      <c r="I439" s="8" t="s">
        <v>2440</v>
      </c>
      <c r="L439" s="11" t="s">
        <v>2441</v>
      </c>
      <c r="M439" s="11" t="s">
        <v>552</v>
      </c>
      <c r="N439" s="11" t="s">
        <v>2428</v>
      </c>
      <c r="O439" s="31" t="s">
        <v>2429</v>
      </c>
      <c r="P439" s="8" t="s">
        <v>2442</v>
      </c>
      <c r="Q439" s="29" t="s">
        <v>2431</v>
      </c>
      <c r="R439" s="29" t="s">
        <v>78</v>
      </c>
      <c r="S439" s="8" t="s">
        <v>2443</v>
      </c>
      <c r="T439" s="8" t="s">
        <v>2444</v>
      </c>
      <c r="U439" s="29" t="s">
        <v>2445</v>
      </c>
      <c r="V439" s="29" t="s">
        <v>2446</v>
      </c>
      <c r="X439" s="8"/>
      <c r="Z439" s="8" t="s">
        <v>2436</v>
      </c>
      <c r="AA439" s="14" t="s">
        <v>2447</v>
      </c>
      <c r="AB439" s="15" t="s">
        <v>2438</v>
      </c>
      <c r="AD439">
        <f t="shared" si="6"/>
        <v>1</v>
      </c>
    </row>
    <row r="440" spans="1:30" ht="13" customHeight="1" x14ac:dyDescent="0.35">
      <c r="A440" s="7" t="s">
        <v>32</v>
      </c>
      <c r="B440" s="8" t="s">
        <v>48</v>
      </c>
      <c r="C440" s="8"/>
      <c r="D440" s="8" t="s">
        <v>49</v>
      </c>
      <c r="E440" s="8" t="s">
        <v>2448</v>
      </c>
      <c r="F440" s="9" t="s">
        <v>145</v>
      </c>
      <c r="G440" s="8" t="s">
        <v>174</v>
      </c>
      <c r="I440" s="8" t="s">
        <v>2449</v>
      </c>
      <c r="J440" s="16" t="s">
        <v>54</v>
      </c>
      <c r="K440" s="8" t="s">
        <v>55</v>
      </c>
      <c r="L440" s="53" t="s">
        <v>2450</v>
      </c>
      <c r="M440" s="43" t="s">
        <v>1507</v>
      </c>
      <c r="N440" s="44" t="s">
        <v>2451</v>
      </c>
      <c r="O440" s="44" t="s">
        <v>2452</v>
      </c>
      <c r="P440" s="9" t="s">
        <v>66</v>
      </c>
      <c r="Q440" s="9" t="s">
        <v>67</v>
      </c>
      <c r="R440" s="9" t="s">
        <v>118</v>
      </c>
      <c r="S440" s="8"/>
      <c r="T440" s="8"/>
      <c r="U440" s="8"/>
      <c r="V440" s="8"/>
      <c r="W440" s="8"/>
      <c r="X440" s="8"/>
      <c r="Y440" s="8"/>
      <c r="AA440" s="14" t="s">
        <v>2453</v>
      </c>
      <c r="AD440">
        <f t="shared" si="6"/>
        <v>1</v>
      </c>
    </row>
    <row r="441" spans="1:30" ht="13" customHeight="1" x14ac:dyDescent="0.35">
      <c r="A441" s="7" t="s">
        <v>69</v>
      </c>
      <c r="B441" s="8" t="s">
        <v>879</v>
      </c>
      <c r="C441" s="8" t="s">
        <v>880</v>
      </c>
      <c r="E441" s="29" t="s">
        <v>2454</v>
      </c>
      <c r="F441" s="9" t="s">
        <v>103</v>
      </c>
      <c r="I441" s="8"/>
      <c r="L441" s="11"/>
      <c r="M441" s="11"/>
      <c r="N441" s="11"/>
      <c r="S441" s="8"/>
      <c r="T441" s="8"/>
      <c r="X441" s="8"/>
      <c r="AA441" s="14" t="s">
        <v>2455</v>
      </c>
      <c r="AB441" s="15" t="s">
        <v>2456</v>
      </c>
      <c r="AD441" t="str">
        <f t="shared" si="6"/>
        <v/>
      </c>
    </row>
    <row r="442" spans="1:30" ht="13" customHeight="1" x14ac:dyDescent="0.35">
      <c r="A442" s="7" t="s">
        <v>32</v>
      </c>
      <c r="B442" s="8" t="s">
        <v>48</v>
      </c>
      <c r="C442" s="8"/>
      <c r="D442" s="8" t="s">
        <v>172</v>
      </c>
      <c r="E442" s="8" t="s">
        <v>2457</v>
      </c>
      <c r="F442" s="9" t="s">
        <v>145</v>
      </c>
      <c r="G442" s="8" t="s">
        <v>421</v>
      </c>
      <c r="I442" s="8" t="s">
        <v>2458</v>
      </c>
      <c r="J442" s="8" t="s">
        <v>176</v>
      </c>
      <c r="K442" s="8" t="s">
        <v>132</v>
      </c>
      <c r="L442" s="53" t="s">
        <v>2450</v>
      </c>
      <c r="M442" s="43" t="s">
        <v>1507</v>
      </c>
      <c r="N442" s="44" t="s">
        <v>2451</v>
      </c>
      <c r="O442" s="44" t="s">
        <v>2452</v>
      </c>
      <c r="P442" s="9" t="s">
        <v>66</v>
      </c>
      <c r="Q442" s="9" t="s">
        <v>67</v>
      </c>
      <c r="R442" s="9" t="s">
        <v>118</v>
      </c>
      <c r="S442" s="8"/>
      <c r="T442" s="8"/>
      <c r="U442" s="8"/>
      <c r="V442" s="8"/>
      <c r="W442" s="8"/>
      <c r="X442" s="8"/>
      <c r="Y442" s="8"/>
      <c r="AA442" s="14" t="s">
        <v>2459</v>
      </c>
      <c r="AD442">
        <f t="shared" si="6"/>
        <v>1</v>
      </c>
    </row>
    <row r="443" spans="1:30" ht="13" customHeight="1" x14ac:dyDescent="0.35">
      <c r="A443" s="7" t="s">
        <v>32</v>
      </c>
      <c r="B443" s="8" t="s">
        <v>70</v>
      </c>
      <c r="C443" s="8"/>
      <c r="D443" s="8" t="s">
        <v>120</v>
      </c>
      <c r="E443" s="9" t="s">
        <v>2460</v>
      </c>
      <c r="F443" s="9" t="s">
        <v>145</v>
      </c>
      <c r="G443" s="8" t="s">
        <v>52</v>
      </c>
      <c r="I443" s="9" t="s">
        <v>2461</v>
      </c>
      <c r="J443" s="9" t="s">
        <v>123</v>
      </c>
      <c r="K443" s="9" t="s">
        <v>55</v>
      </c>
      <c r="L443" s="53" t="s">
        <v>2450</v>
      </c>
      <c r="M443" s="43" t="s">
        <v>1507</v>
      </c>
      <c r="N443" s="44" t="s">
        <v>2451</v>
      </c>
      <c r="O443" s="44" t="s">
        <v>2452</v>
      </c>
      <c r="P443" s="9" t="s">
        <v>66</v>
      </c>
      <c r="Q443" s="9" t="s">
        <v>67</v>
      </c>
      <c r="R443" s="9" t="s">
        <v>118</v>
      </c>
      <c r="S443" s="8"/>
      <c r="T443" s="8"/>
      <c r="U443" s="8"/>
      <c r="V443" s="8"/>
      <c r="W443" s="8"/>
      <c r="X443" s="8"/>
      <c r="Y443" s="8"/>
      <c r="AA443" s="14" t="s">
        <v>2462</v>
      </c>
      <c r="AD443">
        <f t="shared" si="6"/>
        <v>1</v>
      </c>
    </row>
    <row r="444" spans="1:30" ht="13" customHeight="1" x14ac:dyDescent="0.35">
      <c r="A444" s="7" t="s">
        <v>32</v>
      </c>
      <c r="B444" s="8" t="s">
        <v>48</v>
      </c>
      <c r="C444" s="8"/>
      <c r="D444" s="8" t="s">
        <v>172</v>
      </c>
      <c r="E444" s="8" t="s">
        <v>2463</v>
      </c>
      <c r="F444" s="9" t="s">
        <v>145</v>
      </c>
      <c r="G444" s="8" t="s">
        <v>52</v>
      </c>
      <c r="I444" s="8" t="s">
        <v>2464</v>
      </c>
      <c r="J444" s="8" t="s">
        <v>176</v>
      </c>
      <c r="K444" s="8" t="s">
        <v>132</v>
      </c>
      <c r="L444" s="53" t="s">
        <v>2450</v>
      </c>
      <c r="M444" s="43" t="s">
        <v>1507</v>
      </c>
      <c r="N444" s="44" t="s">
        <v>2451</v>
      </c>
      <c r="O444" s="44" t="s">
        <v>2452</v>
      </c>
      <c r="P444" s="9" t="s">
        <v>66</v>
      </c>
      <c r="Q444" s="9" t="s">
        <v>67</v>
      </c>
      <c r="R444" s="9" t="s">
        <v>118</v>
      </c>
      <c r="S444" s="8"/>
      <c r="T444" s="8"/>
      <c r="U444" s="8"/>
      <c r="V444" s="8"/>
      <c r="W444" s="8"/>
      <c r="X444" s="8"/>
      <c r="Y444" s="8"/>
      <c r="AA444" s="14" t="s">
        <v>2465</v>
      </c>
      <c r="AD444">
        <f t="shared" si="6"/>
        <v>1</v>
      </c>
    </row>
    <row r="445" spans="1:30" ht="13" customHeight="1" x14ac:dyDescent="0.35">
      <c r="A445" s="7" t="s">
        <v>32</v>
      </c>
      <c r="B445" s="8" t="s">
        <v>48</v>
      </c>
      <c r="C445" s="8"/>
      <c r="D445" s="8" t="s">
        <v>49</v>
      </c>
      <c r="E445" s="16" t="s">
        <v>2466</v>
      </c>
      <c r="F445" s="9" t="s">
        <v>145</v>
      </c>
      <c r="G445" s="8" t="s">
        <v>52</v>
      </c>
      <c r="I445" s="16" t="s">
        <v>2467</v>
      </c>
      <c r="J445" s="16" t="s">
        <v>54</v>
      </c>
      <c r="K445" s="8" t="s">
        <v>55</v>
      </c>
      <c r="L445" s="17" t="s">
        <v>2468</v>
      </c>
      <c r="M445" s="18" t="s">
        <v>1832</v>
      </c>
      <c r="N445" s="18" t="s">
        <v>2469</v>
      </c>
      <c r="O445" s="68" t="s">
        <v>2470</v>
      </c>
      <c r="P445" s="16" t="s">
        <v>66</v>
      </c>
      <c r="Q445" s="71" t="s">
        <v>2471</v>
      </c>
      <c r="R445" s="16" t="s">
        <v>118</v>
      </c>
      <c r="S445" s="8"/>
      <c r="T445" s="8"/>
      <c r="U445" s="8"/>
      <c r="V445" s="8"/>
      <c r="W445" s="8"/>
      <c r="X445" s="8"/>
      <c r="Y445" s="8"/>
      <c r="AA445" s="14" t="s">
        <v>2472</v>
      </c>
      <c r="AD445">
        <f t="shared" si="6"/>
        <v>1</v>
      </c>
    </row>
    <row r="446" spans="1:30" ht="13" customHeight="1" x14ac:dyDescent="0.35">
      <c r="A446" s="7" t="s">
        <v>32</v>
      </c>
      <c r="B446" s="8" t="s">
        <v>70</v>
      </c>
      <c r="C446" s="8"/>
      <c r="D446" s="8" t="s">
        <v>120</v>
      </c>
      <c r="E446" s="9" t="s">
        <v>2473</v>
      </c>
      <c r="F446" s="9" t="s">
        <v>145</v>
      </c>
      <c r="G446" s="8" t="s">
        <v>52</v>
      </c>
      <c r="I446" s="9" t="s">
        <v>2474</v>
      </c>
      <c r="J446" s="9" t="s">
        <v>123</v>
      </c>
      <c r="K446" s="9" t="s">
        <v>132</v>
      </c>
      <c r="L446" s="53" t="s">
        <v>2468</v>
      </c>
      <c r="M446" s="43" t="s">
        <v>1832</v>
      </c>
      <c r="N446" s="43" t="s">
        <v>2469</v>
      </c>
      <c r="O446" s="44" t="s">
        <v>2470</v>
      </c>
      <c r="P446" s="9" t="s">
        <v>66</v>
      </c>
      <c r="Q446" s="9" t="s">
        <v>2471</v>
      </c>
      <c r="R446" s="9" t="s">
        <v>60</v>
      </c>
      <c r="S446" s="8"/>
      <c r="T446" s="8"/>
      <c r="U446" s="8"/>
      <c r="V446" s="8"/>
      <c r="W446" s="8"/>
      <c r="X446" s="8"/>
      <c r="Y446" s="8"/>
      <c r="AA446" s="14" t="s">
        <v>2475</v>
      </c>
      <c r="AD446">
        <f t="shared" si="6"/>
        <v>1</v>
      </c>
    </row>
    <row r="447" spans="1:30" ht="13" customHeight="1" x14ac:dyDescent="0.35">
      <c r="B447" s="8" t="s">
        <v>2476</v>
      </c>
      <c r="C447" s="8"/>
      <c r="E447" s="29" t="s">
        <v>2477</v>
      </c>
      <c r="F447" s="9" t="s">
        <v>2478</v>
      </c>
      <c r="I447" s="8"/>
      <c r="L447" s="11"/>
      <c r="M447" s="11"/>
      <c r="N447" s="11"/>
      <c r="O447" s="31" t="s">
        <v>2479</v>
      </c>
      <c r="Q447" s="84" t="s">
        <v>2480</v>
      </c>
      <c r="S447" s="8"/>
      <c r="T447" s="8"/>
      <c r="W447" s="29" t="s">
        <v>274</v>
      </c>
      <c r="X447" s="8"/>
      <c r="AA447" s="14" t="s">
        <v>2481</v>
      </c>
      <c r="AB447" s="15" t="s">
        <v>2482</v>
      </c>
      <c r="AD447" t="str">
        <f t="shared" si="6"/>
        <v/>
      </c>
    </row>
    <row r="448" spans="1:30" ht="13" customHeight="1" x14ac:dyDescent="0.35">
      <c r="B448" s="8" t="s">
        <v>2476</v>
      </c>
      <c r="C448" s="8"/>
      <c r="E448" s="29" t="s">
        <v>2483</v>
      </c>
      <c r="F448" s="9" t="s">
        <v>2478</v>
      </c>
      <c r="I448" s="8"/>
      <c r="L448" s="10"/>
      <c r="M448" s="10"/>
      <c r="N448" s="10"/>
      <c r="O448" s="31" t="s">
        <v>2484</v>
      </c>
      <c r="Q448" s="84" t="s">
        <v>2480</v>
      </c>
      <c r="S448" s="8"/>
      <c r="T448" s="8"/>
      <c r="X448" s="8"/>
      <c r="AA448" s="14" t="s">
        <v>2485</v>
      </c>
      <c r="AB448" s="12" t="s">
        <v>2486</v>
      </c>
      <c r="AD448" t="str">
        <f t="shared" si="6"/>
        <v/>
      </c>
    </row>
    <row r="449" spans="1:30" ht="13" customHeight="1" x14ac:dyDescent="0.35">
      <c r="A449" s="7" t="s">
        <v>32</v>
      </c>
      <c r="B449" s="8" t="s">
        <v>48</v>
      </c>
      <c r="C449" s="8"/>
      <c r="D449" s="8" t="s">
        <v>49</v>
      </c>
      <c r="E449" s="9" t="s">
        <v>2473</v>
      </c>
      <c r="F449" s="9" t="s">
        <v>145</v>
      </c>
      <c r="G449" s="8" t="s">
        <v>52</v>
      </c>
      <c r="I449" s="9" t="s">
        <v>2474</v>
      </c>
      <c r="J449" s="16" t="s">
        <v>54</v>
      </c>
      <c r="K449" s="8" t="s">
        <v>132</v>
      </c>
      <c r="L449" s="53" t="s">
        <v>2468</v>
      </c>
      <c r="M449" s="43" t="s">
        <v>1832</v>
      </c>
      <c r="N449" s="43" t="s">
        <v>2469</v>
      </c>
      <c r="O449" s="44" t="s">
        <v>2470</v>
      </c>
      <c r="P449" s="9" t="s">
        <v>66</v>
      </c>
      <c r="Q449" s="9" t="s">
        <v>2471</v>
      </c>
      <c r="R449" s="9" t="s">
        <v>60</v>
      </c>
      <c r="S449" s="8"/>
      <c r="T449" s="8"/>
      <c r="U449" s="8"/>
      <c r="V449" s="8"/>
      <c r="W449" s="8"/>
      <c r="X449" s="8"/>
      <c r="Y449" s="8"/>
      <c r="AA449" s="14" t="s">
        <v>2487</v>
      </c>
      <c r="AD449">
        <f t="shared" si="6"/>
        <v>1</v>
      </c>
    </row>
    <row r="450" spans="1:30" ht="13" customHeight="1" x14ac:dyDescent="0.35">
      <c r="A450" s="7" t="s">
        <v>69</v>
      </c>
      <c r="B450" s="8" t="s">
        <v>48</v>
      </c>
      <c r="C450" s="8"/>
      <c r="D450" s="8" t="s">
        <v>2488</v>
      </c>
      <c r="E450" s="29" t="s">
        <v>2489</v>
      </c>
      <c r="F450" s="9" t="s">
        <v>73</v>
      </c>
      <c r="I450" s="29" t="s">
        <v>2490</v>
      </c>
      <c r="L450" s="31" t="s">
        <v>2491</v>
      </c>
      <c r="M450" s="31" t="s">
        <v>2492</v>
      </c>
      <c r="N450" s="31" t="s">
        <v>2493</v>
      </c>
      <c r="O450" s="31" t="s">
        <v>2494</v>
      </c>
      <c r="R450" s="29" t="s">
        <v>88</v>
      </c>
      <c r="S450" s="33" t="s">
        <v>568</v>
      </c>
      <c r="T450" s="29" t="s">
        <v>2495</v>
      </c>
      <c r="U450" s="29" t="s">
        <v>2496</v>
      </c>
      <c r="V450" s="33"/>
      <c r="X450" s="29" t="s">
        <v>2497</v>
      </c>
      <c r="Y450" s="8"/>
      <c r="AA450" s="14" t="s">
        <v>2498</v>
      </c>
      <c r="AD450">
        <f t="shared" ref="AD450:AD513" si="7">IF(M450="","",COUNTA(_xlfn.TEXTSPLIT(M450,CHAR(10))))</f>
        <v>2</v>
      </c>
    </row>
    <row r="451" spans="1:30" ht="13" customHeight="1" x14ac:dyDescent="0.35">
      <c r="A451" s="7" t="s">
        <v>69</v>
      </c>
      <c r="B451" s="8" t="s">
        <v>70</v>
      </c>
      <c r="C451" s="8"/>
      <c r="D451" s="8" t="s">
        <v>2499</v>
      </c>
      <c r="E451" s="24" t="s">
        <v>2489</v>
      </c>
      <c r="F451" s="9" t="s">
        <v>73</v>
      </c>
      <c r="I451" s="24" t="s">
        <v>2500</v>
      </c>
      <c r="J451" s="116"/>
      <c r="K451" s="110"/>
      <c r="L451" s="27" t="s">
        <v>2501</v>
      </c>
      <c r="M451" s="27" t="s">
        <v>2492</v>
      </c>
      <c r="N451" s="27" t="s">
        <v>2493</v>
      </c>
      <c r="O451" s="11" t="s">
        <v>2502</v>
      </c>
      <c r="P451" s="24"/>
      <c r="Q451" s="24"/>
      <c r="R451" s="24" t="s">
        <v>78</v>
      </c>
      <c r="S451" s="24" t="s">
        <v>1112</v>
      </c>
      <c r="T451" s="24" t="s">
        <v>2503</v>
      </c>
      <c r="U451" s="24" t="s">
        <v>2504</v>
      </c>
      <c r="V451" s="24" t="s">
        <v>2505</v>
      </c>
      <c r="W451" s="24"/>
      <c r="X451" s="24"/>
      <c r="Y451" s="8"/>
      <c r="AA451" s="14" t="s">
        <v>2506</v>
      </c>
      <c r="AB451" s="12" t="s">
        <v>2507</v>
      </c>
      <c r="AD451">
        <f t="shared" si="7"/>
        <v>2</v>
      </c>
    </row>
    <row r="452" spans="1:30" ht="13" customHeight="1" x14ac:dyDescent="0.35">
      <c r="A452" s="7" t="s">
        <v>32</v>
      </c>
      <c r="B452" s="8" t="s">
        <v>48</v>
      </c>
      <c r="C452" s="8"/>
      <c r="D452" s="8" t="s">
        <v>49</v>
      </c>
      <c r="E452" s="117" t="s">
        <v>2508</v>
      </c>
      <c r="F452" s="9" t="s">
        <v>103</v>
      </c>
      <c r="G452" s="118" t="s">
        <v>1498</v>
      </c>
      <c r="H452" s="39"/>
      <c r="I452" s="117" t="s">
        <v>2509</v>
      </c>
      <c r="J452" s="117" t="s">
        <v>54</v>
      </c>
      <c r="K452" s="117"/>
      <c r="L452" s="81" t="s">
        <v>2510</v>
      </c>
      <c r="M452" s="81"/>
      <c r="N452" s="81"/>
      <c r="O452" s="119" t="s">
        <v>2511</v>
      </c>
      <c r="P452" s="117" t="s">
        <v>58</v>
      </c>
      <c r="Q452" s="117" t="s">
        <v>2512</v>
      </c>
      <c r="R452" s="117" t="s">
        <v>118</v>
      </c>
      <c r="S452" s="8"/>
      <c r="T452" s="8"/>
      <c r="U452" s="8"/>
      <c r="V452" s="8"/>
      <c r="W452" s="8"/>
      <c r="X452" s="8"/>
      <c r="Y452" s="8"/>
      <c r="AA452" s="14" t="s">
        <v>2513</v>
      </c>
      <c r="AB452" s="12" t="s">
        <v>318</v>
      </c>
      <c r="AD452" t="str">
        <f t="shared" si="7"/>
        <v/>
      </c>
    </row>
    <row r="453" spans="1:30" ht="13" customHeight="1" x14ac:dyDescent="0.35">
      <c r="A453" s="7" t="s">
        <v>32</v>
      </c>
      <c r="B453" s="8" t="s">
        <v>70</v>
      </c>
      <c r="C453" s="8"/>
      <c r="D453" s="8" t="s">
        <v>120</v>
      </c>
      <c r="E453" s="47" t="s">
        <v>2514</v>
      </c>
      <c r="F453" s="9" t="s">
        <v>51</v>
      </c>
      <c r="G453" s="8" t="s">
        <v>52</v>
      </c>
      <c r="I453" s="8" t="s">
        <v>2515</v>
      </c>
      <c r="J453" s="9" t="s">
        <v>123</v>
      </c>
      <c r="K453" s="9" t="s">
        <v>132</v>
      </c>
      <c r="L453" s="35" t="s">
        <v>2516</v>
      </c>
      <c r="M453" s="10"/>
      <c r="N453" s="10"/>
      <c r="O453" s="11" t="s">
        <v>2517</v>
      </c>
      <c r="P453" s="16" t="s">
        <v>142</v>
      </c>
      <c r="Q453" s="9" t="s">
        <v>2518</v>
      </c>
      <c r="R453" s="9" t="s">
        <v>118</v>
      </c>
      <c r="S453" s="8"/>
      <c r="T453" s="8"/>
      <c r="U453" s="8"/>
      <c r="V453" s="8"/>
      <c r="W453" s="8"/>
      <c r="X453" s="8"/>
      <c r="Y453" s="8"/>
      <c r="AA453" s="14" t="s">
        <v>2519</v>
      </c>
      <c r="AD453" t="str">
        <f t="shared" si="7"/>
        <v/>
      </c>
    </row>
    <row r="454" spans="1:30" ht="13" customHeight="1" x14ac:dyDescent="0.35">
      <c r="A454" s="7" t="s">
        <v>32</v>
      </c>
      <c r="B454" s="8" t="s">
        <v>70</v>
      </c>
      <c r="C454" s="8"/>
      <c r="D454" s="8" t="s">
        <v>120</v>
      </c>
      <c r="E454" s="9" t="s">
        <v>2520</v>
      </c>
      <c r="F454" s="9" t="s">
        <v>73</v>
      </c>
      <c r="G454" s="8" t="s">
        <v>130</v>
      </c>
      <c r="I454" s="8" t="s">
        <v>2521</v>
      </c>
      <c r="J454" s="9" t="s">
        <v>123</v>
      </c>
      <c r="K454" s="9" t="s">
        <v>132</v>
      </c>
      <c r="L454" s="10" t="s">
        <v>498</v>
      </c>
      <c r="M454" s="11" t="s">
        <v>212</v>
      </c>
      <c r="N454" s="10"/>
      <c r="O454" s="11" t="s">
        <v>2522</v>
      </c>
      <c r="P454" s="16" t="s">
        <v>142</v>
      </c>
      <c r="Q454" s="9" t="s">
        <v>67</v>
      </c>
      <c r="R454" s="9" t="s">
        <v>118</v>
      </c>
      <c r="S454" s="8"/>
      <c r="T454" s="8"/>
      <c r="U454" s="8"/>
      <c r="V454" s="8"/>
      <c r="W454" s="8"/>
      <c r="X454" s="8"/>
      <c r="Y454" s="8"/>
      <c r="AA454" s="14" t="s">
        <v>2523</v>
      </c>
      <c r="AD454">
        <f t="shared" si="7"/>
        <v>2</v>
      </c>
    </row>
    <row r="455" spans="1:30" ht="13" customHeight="1" x14ac:dyDescent="0.35">
      <c r="A455" s="120" t="s">
        <v>32</v>
      </c>
      <c r="B455" s="121" t="s">
        <v>48</v>
      </c>
      <c r="C455" s="121"/>
      <c r="D455" s="121" t="s">
        <v>49</v>
      </c>
      <c r="E455" s="122" t="s">
        <v>335</v>
      </c>
      <c r="F455" s="122" t="s">
        <v>235</v>
      </c>
      <c r="G455" s="121" t="s">
        <v>2220</v>
      </c>
      <c r="H455" s="123"/>
      <c r="I455" s="121" t="s">
        <v>2524</v>
      </c>
      <c r="J455" s="122" t="s">
        <v>123</v>
      </c>
      <c r="K455" s="122" t="s">
        <v>132</v>
      </c>
      <c r="L455" s="123" t="s">
        <v>338</v>
      </c>
      <c r="M455" s="123" t="s">
        <v>2525</v>
      </c>
      <c r="N455" s="123"/>
      <c r="O455" s="124" t="s">
        <v>2526</v>
      </c>
      <c r="P455" s="125"/>
      <c r="Q455" s="122"/>
      <c r="R455" s="122"/>
      <c r="S455" s="121"/>
      <c r="T455" s="121"/>
      <c r="U455" s="121"/>
      <c r="V455" s="121"/>
      <c r="W455" s="121"/>
      <c r="X455" s="121"/>
      <c r="Y455" s="121"/>
      <c r="Z455" s="121"/>
      <c r="AA455" s="14" t="s">
        <v>2527</v>
      </c>
      <c r="AB455" s="126"/>
      <c r="AD455">
        <f t="shared" si="7"/>
        <v>1</v>
      </c>
    </row>
    <row r="456" spans="1:30" ht="13" customHeight="1" x14ac:dyDescent="0.35">
      <c r="A456" s="120" t="s">
        <v>32</v>
      </c>
      <c r="B456" s="121" t="s">
        <v>70</v>
      </c>
      <c r="C456" s="121"/>
      <c r="D456" s="121" t="s">
        <v>120</v>
      </c>
      <c r="E456" s="122" t="s">
        <v>2528</v>
      </c>
      <c r="F456" s="122" t="s">
        <v>235</v>
      </c>
      <c r="G456" s="121" t="s">
        <v>130</v>
      </c>
      <c r="H456" s="123"/>
      <c r="I456" s="127" t="s">
        <v>2529</v>
      </c>
      <c r="J456" s="122" t="s">
        <v>123</v>
      </c>
      <c r="K456" s="122" t="s">
        <v>132</v>
      </c>
      <c r="L456" s="60" t="s">
        <v>338</v>
      </c>
      <c r="M456" s="60" t="s">
        <v>2525</v>
      </c>
      <c r="O456" s="124" t="s">
        <v>2526</v>
      </c>
      <c r="P456" s="125"/>
      <c r="Q456" s="122"/>
      <c r="R456" s="122"/>
      <c r="U456" s="121"/>
      <c r="V456" s="121"/>
      <c r="W456" s="121"/>
      <c r="Y456" s="121"/>
      <c r="Z456" s="121"/>
      <c r="AA456" s="14" t="s">
        <v>2530</v>
      </c>
      <c r="AB456" s="126"/>
      <c r="AD456">
        <f t="shared" si="7"/>
        <v>1</v>
      </c>
    </row>
    <row r="457" spans="1:30" ht="13" customHeight="1" x14ac:dyDescent="0.35">
      <c r="A457" s="120" t="s">
        <v>32</v>
      </c>
      <c r="B457" s="121" t="s">
        <v>70</v>
      </c>
      <c r="C457" s="121"/>
      <c r="D457" s="121" t="s">
        <v>120</v>
      </c>
      <c r="E457" s="122" t="s">
        <v>2531</v>
      </c>
      <c r="F457" s="122" t="s">
        <v>35</v>
      </c>
      <c r="G457" s="121" t="s">
        <v>130</v>
      </c>
      <c r="H457" s="123"/>
      <c r="I457" s="127" t="s">
        <v>2532</v>
      </c>
      <c r="J457" s="122" t="s">
        <v>123</v>
      </c>
      <c r="K457" s="122" t="s">
        <v>132</v>
      </c>
      <c r="O457" s="124"/>
      <c r="P457" s="125"/>
      <c r="Q457" s="122"/>
      <c r="R457" s="122"/>
      <c r="U457" s="121"/>
      <c r="V457" s="121"/>
      <c r="W457" s="121"/>
      <c r="Y457" s="121"/>
      <c r="Z457" s="121"/>
      <c r="AA457" s="14" t="s">
        <v>2533</v>
      </c>
      <c r="AB457" s="126"/>
      <c r="AD457" t="str">
        <f t="shared" si="7"/>
        <v/>
      </c>
    </row>
    <row r="458" spans="1:30" ht="13" customHeight="1" x14ac:dyDescent="0.35">
      <c r="A458" s="120" t="s">
        <v>32</v>
      </c>
      <c r="B458" s="121" t="s">
        <v>70</v>
      </c>
      <c r="C458" s="121"/>
      <c r="D458" s="121" t="s">
        <v>120</v>
      </c>
      <c r="E458" s="128" t="s">
        <v>2534</v>
      </c>
      <c r="F458" s="122" t="s">
        <v>103</v>
      </c>
      <c r="G458" s="128" t="s">
        <v>313</v>
      </c>
      <c r="H458" s="129"/>
      <c r="I458" s="130" t="s">
        <v>2535</v>
      </c>
      <c r="J458" s="128" t="s">
        <v>123</v>
      </c>
      <c r="K458" s="128"/>
      <c r="L458" s="65" t="s">
        <v>2536</v>
      </c>
      <c r="M458" s="65"/>
      <c r="N458" s="65"/>
      <c r="O458" s="131" t="s">
        <v>2537</v>
      </c>
      <c r="P458" s="128" t="s">
        <v>66</v>
      </c>
      <c r="Q458" s="128" t="s">
        <v>2538</v>
      </c>
      <c r="R458" s="128" t="s">
        <v>118</v>
      </c>
      <c r="U458" s="121"/>
      <c r="V458" s="121"/>
      <c r="W458" s="121"/>
      <c r="Y458" s="121"/>
      <c r="Z458" s="121"/>
      <c r="AA458" s="14" t="s">
        <v>2539</v>
      </c>
      <c r="AB458" s="126" t="s">
        <v>112</v>
      </c>
      <c r="AD458" t="str">
        <f t="shared" si="7"/>
        <v/>
      </c>
    </row>
    <row r="459" spans="1:30" ht="13" customHeight="1" x14ac:dyDescent="0.35">
      <c r="A459" s="120" t="s">
        <v>69</v>
      </c>
      <c r="B459" s="121" t="s">
        <v>70</v>
      </c>
      <c r="C459" s="121"/>
      <c r="D459" s="121" t="s">
        <v>2540</v>
      </c>
      <c r="E459" s="132" t="s">
        <v>1490</v>
      </c>
      <c r="F459" s="122" t="s">
        <v>548</v>
      </c>
      <c r="G459" s="121"/>
      <c r="H459" s="123"/>
      <c r="I459" s="133" t="s">
        <v>2541</v>
      </c>
      <c r="J459" s="134"/>
      <c r="K459" s="134"/>
      <c r="L459" s="135" t="s">
        <v>2542</v>
      </c>
      <c r="M459" s="135" t="s">
        <v>552</v>
      </c>
      <c r="N459" s="135" t="s">
        <v>2543</v>
      </c>
      <c r="O459" s="124" t="s">
        <v>2544</v>
      </c>
      <c r="P459" s="136" t="s">
        <v>2545</v>
      </c>
      <c r="Q459" s="132" t="s">
        <v>2546</v>
      </c>
      <c r="R459" s="132" t="s">
        <v>2547</v>
      </c>
      <c r="S459" s="137" t="s">
        <v>2443</v>
      </c>
      <c r="T459" s="137" t="s">
        <v>2548</v>
      </c>
      <c r="U459" s="132" t="s">
        <v>2549</v>
      </c>
      <c r="V459" s="134" t="s">
        <v>571</v>
      </c>
      <c r="W459" s="134"/>
      <c r="X459" s="137"/>
      <c r="Y459" s="121"/>
      <c r="Z459" s="121" t="s">
        <v>802</v>
      </c>
      <c r="AA459" s="14" t="s">
        <v>2550</v>
      </c>
      <c r="AB459" s="126"/>
      <c r="AD459">
        <f t="shared" si="7"/>
        <v>1</v>
      </c>
    </row>
    <row r="460" spans="1:30" ht="13" customHeight="1" x14ac:dyDescent="0.35">
      <c r="A460" s="120" t="s">
        <v>32</v>
      </c>
      <c r="B460" s="121" t="s">
        <v>70</v>
      </c>
      <c r="C460" s="121"/>
      <c r="D460" s="121" t="s">
        <v>120</v>
      </c>
      <c r="E460" s="121" t="s">
        <v>2551</v>
      </c>
      <c r="F460" s="122" t="s">
        <v>35</v>
      </c>
      <c r="G460" s="121" t="s">
        <v>130</v>
      </c>
      <c r="H460" s="123"/>
      <c r="I460" s="127" t="s">
        <v>2552</v>
      </c>
      <c r="J460" s="122" t="s">
        <v>123</v>
      </c>
      <c r="K460" s="122" t="s">
        <v>55</v>
      </c>
      <c r="O460" s="124"/>
      <c r="P460" s="121"/>
      <c r="Q460" s="121"/>
      <c r="R460" s="121"/>
      <c r="U460" s="121"/>
      <c r="V460" s="121"/>
      <c r="W460" s="121"/>
      <c r="Y460" s="121"/>
      <c r="Z460" s="121"/>
      <c r="AA460" s="14" t="s">
        <v>2553</v>
      </c>
      <c r="AB460" s="126"/>
      <c r="AD460" t="str">
        <f t="shared" si="7"/>
        <v/>
      </c>
    </row>
    <row r="461" spans="1:30" ht="13" customHeight="1" x14ac:dyDescent="0.35">
      <c r="A461" s="120" t="s">
        <v>32</v>
      </c>
      <c r="B461" s="121" t="s">
        <v>70</v>
      </c>
      <c r="C461" s="121"/>
      <c r="D461" s="121" t="s">
        <v>120</v>
      </c>
      <c r="E461" s="122" t="s">
        <v>2554</v>
      </c>
      <c r="F461" s="122" t="s">
        <v>35</v>
      </c>
      <c r="G461" s="121" t="s">
        <v>52</v>
      </c>
      <c r="H461" s="123"/>
      <c r="I461" s="127" t="s">
        <v>2555</v>
      </c>
      <c r="J461" s="122" t="s">
        <v>123</v>
      </c>
      <c r="K461" s="122" t="s">
        <v>132</v>
      </c>
      <c r="O461" s="124"/>
      <c r="P461" s="125"/>
      <c r="Q461" s="122"/>
      <c r="R461" s="122"/>
      <c r="U461" s="121"/>
      <c r="V461" s="121"/>
      <c r="W461" s="121"/>
      <c r="Y461" s="121"/>
      <c r="Z461" s="121"/>
      <c r="AA461" s="14" t="s">
        <v>2556</v>
      </c>
      <c r="AB461" s="126"/>
      <c r="AD461" t="str">
        <f t="shared" si="7"/>
        <v/>
      </c>
    </row>
    <row r="462" spans="1:30" ht="13" customHeight="1" x14ac:dyDescent="0.35">
      <c r="A462" s="120" t="s">
        <v>32</v>
      </c>
      <c r="B462" s="121" t="s">
        <v>48</v>
      </c>
      <c r="C462" s="121"/>
      <c r="D462" s="121" t="s">
        <v>172</v>
      </c>
      <c r="E462" s="121" t="s">
        <v>2557</v>
      </c>
      <c r="F462" s="122" t="s">
        <v>35</v>
      </c>
      <c r="G462" s="121" t="s">
        <v>174</v>
      </c>
      <c r="H462" s="123"/>
      <c r="I462" s="127" t="s">
        <v>2558</v>
      </c>
      <c r="J462" s="121" t="s">
        <v>176</v>
      </c>
      <c r="K462" s="121" t="s">
        <v>132</v>
      </c>
      <c r="L462" s="138"/>
      <c r="M462" s="138"/>
      <c r="N462" s="138"/>
      <c r="O462" s="139"/>
      <c r="P462" s="122"/>
      <c r="Q462" s="122"/>
      <c r="R462" s="122"/>
      <c r="U462" s="121"/>
      <c r="V462" s="121"/>
      <c r="W462" s="121"/>
      <c r="Y462" s="121"/>
      <c r="Z462" s="121"/>
      <c r="AA462" s="14" t="s">
        <v>2559</v>
      </c>
      <c r="AB462" s="126"/>
      <c r="AD462" t="str">
        <f t="shared" si="7"/>
        <v/>
      </c>
    </row>
    <row r="463" spans="1:30" ht="13" customHeight="1" x14ac:dyDescent="0.35">
      <c r="A463" s="120" t="s">
        <v>32</v>
      </c>
      <c r="B463" s="121" t="s">
        <v>48</v>
      </c>
      <c r="C463" s="121"/>
      <c r="D463" s="121" t="s">
        <v>49</v>
      </c>
      <c r="E463" s="140" t="s">
        <v>2560</v>
      </c>
      <c r="F463" s="122" t="s">
        <v>51</v>
      </c>
      <c r="G463" s="121" t="s">
        <v>52</v>
      </c>
      <c r="H463" s="123"/>
      <c r="I463" s="141" t="s">
        <v>2561</v>
      </c>
      <c r="J463" s="125" t="s">
        <v>54</v>
      </c>
      <c r="K463" s="121" t="s">
        <v>55</v>
      </c>
      <c r="L463" s="142" t="s">
        <v>730</v>
      </c>
      <c r="M463" s="143"/>
      <c r="N463" s="143"/>
      <c r="O463" s="144" t="s">
        <v>2562</v>
      </c>
      <c r="P463" s="140" t="s">
        <v>66</v>
      </c>
      <c r="Q463" s="140" t="s">
        <v>190</v>
      </c>
      <c r="R463" s="140" t="s">
        <v>118</v>
      </c>
      <c r="U463" s="121"/>
      <c r="V463" s="121"/>
      <c r="W463" s="121"/>
      <c r="Y463" s="121"/>
      <c r="Z463" s="121"/>
      <c r="AA463" s="14" t="s">
        <v>2563</v>
      </c>
      <c r="AB463" s="126"/>
      <c r="AD463" t="str">
        <f t="shared" si="7"/>
        <v/>
      </c>
    </row>
    <row r="464" spans="1:30" ht="13" customHeight="1" x14ac:dyDescent="0.35">
      <c r="A464" s="120" t="s">
        <v>32</v>
      </c>
      <c r="B464" s="121" t="s">
        <v>48</v>
      </c>
      <c r="C464" s="121"/>
      <c r="D464" s="121" t="s">
        <v>49</v>
      </c>
      <c r="E464" s="122" t="s">
        <v>2564</v>
      </c>
      <c r="F464" s="122" t="s">
        <v>35</v>
      </c>
      <c r="G464" s="121" t="s">
        <v>52</v>
      </c>
      <c r="H464" s="123"/>
      <c r="I464" s="127" t="s">
        <v>2565</v>
      </c>
      <c r="J464" s="122" t="s">
        <v>123</v>
      </c>
      <c r="K464" s="122" t="s">
        <v>132</v>
      </c>
      <c r="O464" s="124"/>
      <c r="P464" s="125"/>
      <c r="Q464" s="122"/>
      <c r="R464" s="122"/>
      <c r="U464" s="121"/>
      <c r="V464" s="121"/>
      <c r="W464" s="121"/>
      <c r="Y464" s="121"/>
      <c r="Z464" s="121"/>
      <c r="AA464" s="14" t="s">
        <v>2566</v>
      </c>
      <c r="AB464" s="126"/>
      <c r="AD464" t="str">
        <f t="shared" si="7"/>
        <v/>
      </c>
    </row>
    <row r="465" spans="1:30" ht="13" customHeight="1" x14ac:dyDescent="0.35">
      <c r="A465" s="120" t="s">
        <v>32</v>
      </c>
      <c r="B465" s="121" t="s">
        <v>70</v>
      </c>
      <c r="C465" s="121"/>
      <c r="D465" s="121" t="s">
        <v>120</v>
      </c>
      <c r="E465" s="122" t="s">
        <v>2567</v>
      </c>
      <c r="F465" s="122" t="s">
        <v>235</v>
      </c>
      <c r="G465" s="121" t="s">
        <v>52</v>
      </c>
      <c r="H465" s="123"/>
      <c r="I465" s="145" t="s">
        <v>2568</v>
      </c>
      <c r="J465" s="122" t="s">
        <v>123</v>
      </c>
      <c r="K465" s="122" t="s">
        <v>55</v>
      </c>
      <c r="L465" s="146" t="s">
        <v>2569</v>
      </c>
      <c r="M465" s="143" t="s">
        <v>2570</v>
      </c>
      <c r="N465" s="143"/>
      <c r="O465" s="139" t="s">
        <v>2571</v>
      </c>
      <c r="P465" s="122" t="s">
        <v>66</v>
      </c>
      <c r="Q465" s="147" t="s">
        <v>2572</v>
      </c>
      <c r="R465" s="122" t="s">
        <v>60</v>
      </c>
      <c r="U465" s="121"/>
      <c r="V465" s="121"/>
      <c r="W465" s="121"/>
      <c r="Y465" s="121"/>
      <c r="Z465" s="121"/>
      <c r="AA465" s="14" t="s">
        <v>2573</v>
      </c>
      <c r="AB465" s="126" t="s">
        <v>2574</v>
      </c>
      <c r="AD465">
        <f t="shared" si="7"/>
        <v>1</v>
      </c>
    </row>
    <row r="466" spans="1:30" ht="13" customHeight="1" x14ac:dyDescent="0.35">
      <c r="A466" s="120" t="s">
        <v>32</v>
      </c>
      <c r="B466" s="121" t="s">
        <v>48</v>
      </c>
      <c r="C466" s="121"/>
      <c r="D466" s="121" t="s">
        <v>49</v>
      </c>
      <c r="E466" s="125" t="s">
        <v>2575</v>
      </c>
      <c r="F466" s="122" t="s">
        <v>235</v>
      </c>
      <c r="G466" s="121" t="s">
        <v>52</v>
      </c>
      <c r="H466" s="123"/>
      <c r="I466" s="141" t="s">
        <v>2576</v>
      </c>
      <c r="J466" s="125" t="s">
        <v>54</v>
      </c>
      <c r="K466" s="121" t="s">
        <v>55</v>
      </c>
      <c r="L466" s="148" t="s">
        <v>2569</v>
      </c>
      <c r="M466" s="149" t="s">
        <v>2570</v>
      </c>
      <c r="N466" s="149"/>
      <c r="O466" s="150" t="s">
        <v>2571</v>
      </c>
      <c r="P466" s="125" t="s">
        <v>66</v>
      </c>
      <c r="Q466" s="151" t="s">
        <v>2572</v>
      </c>
      <c r="R466" s="125" t="s">
        <v>60</v>
      </c>
      <c r="U466" s="121"/>
      <c r="V466" s="121"/>
      <c r="W466" s="121"/>
      <c r="Y466" s="121"/>
      <c r="Z466" s="121"/>
      <c r="AA466" s="14" t="s">
        <v>2577</v>
      </c>
      <c r="AB466" s="126" t="s">
        <v>2574</v>
      </c>
      <c r="AD466">
        <f t="shared" si="7"/>
        <v>1</v>
      </c>
    </row>
    <row r="467" spans="1:30" ht="13" customHeight="1" x14ac:dyDescent="0.35">
      <c r="A467" s="120" t="s">
        <v>32</v>
      </c>
      <c r="B467" s="121" t="s">
        <v>48</v>
      </c>
      <c r="C467" s="121"/>
      <c r="D467" s="121" t="s">
        <v>49</v>
      </c>
      <c r="E467" s="140" t="s">
        <v>2578</v>
      </c>
      <c r="F467" s="122" t="s">
        <v>35</v>
      </c>
      <c r="G467" s="121" t="s">
        <v>52</v>
      </c>
      <c r="H467" s="123"/>
      <c r="I467" s="141" t="s">
        <v>2579</v>
      </c>
      <c r="J467" s="125" t="s">
        <v>54</v>
      </c>
      <c r="K467" s="121" t="s">
        <v>55</v>
      </c>
      <c r="L467" s="143"/>
      <c r="M467" s="143"/>
      <c r="N467" s="143"/>
      <c r="O467" s="144"/>
      <c r="P467" s="140"/>
      <c r="Q467" s="140"/>
      <c r="R467" s="140"/>
      <c r="U467" s="121"/>
      <c r="V467" s="121"/>
      <c r="W467" s="121"/>
      <c r="Y467" s="121"/>
      <c r="Z467" s="121"/>
      <c r="AA467" s="14" t="s">
        <v>2580</v>
      </c>
      <c r="AB467" s="126"/>
      <c r="AD467" t="str">
        <f t="shared" si="7"/>
        <v/>
      </c>
    </row>
    <row r="468" spans="1:30" ht="13" customHeight="1" x14ac:dyDescent="0.35">
      <c r="A468" s="120" t="s">
        <v>32</v>
      </c>
      <c r="B468" s="121" t="s">
        <v>48</v>
      </c>
      <c r="C468" s="121"/>
      <c r="D468" s="121" t="s">
        <v>49</v>
      </c>
      <c r="E468" s="140" t="s">
        <v>2581</v>
      </c>
      <c r="F468" s="122" t="s">
        <v>35</v>
      </c>
      <c r="G468" s="121" t="s">
        <v>52</v>
      </c>
      <c r="H468" s="123"/>
      <c r="I468" s="141" t="s">
        <v>2582</v>
      </c>
      <c r="J468" s="125" t="s">
        <v>54</v>
      </c>
      <c r="K468" s="121" t="s">
        <v>55</v>
      </c>
      <c r="L468" s="143"/>
      <c r="M468" s="143"/>
      <c r="N468" s="143"/>
      <c r="O468" s="144"/>
      <c r="P468" s="140"/>
      <c r="Q468" s="140"/>
      <c r="R468" s="140"/>
      <c r="U468" s="121"/>
      <c r="V468" s="121"/>
      <c r="W468" s="121"/>
      <c r="Y468" s="121"/>
      <c r="Z468" s="121"/>
      <c r="AA468" s="14" t="s">
        <v>2583</v>
      </c>
      <c r="AB468" s="126"/>
      <c r="AD468" t="str">
        <f t="shared" si="7"/>
        <v/>
      </c>
    </row>
    <row r="469" spans="1:30" ht="13" customHeight="1" x14ac:dyDescent="0.35">
      <c r="A469" s="120" t="s">
        <v>32</v>
      </c>
      <c r="B469" s="121" t="s">
        <v>48</v>
      </c>
      <c r="C469" s="121"/>
      <c r="D469" s="121" t="s">
        <v>49</v>
      </c>
      <c r="E469" s="140" t="s">
        <v>2584</v>
      </c>
      <c r="F469" s="122" t="s">
        <v>35</v>
      </c>
      <c r="G469" s="121" t="s">
        <v>52</v>
      </c>
      <c r="H469" s="123"/>
      <c r="I469" s="141" t="s">
        <v>2585</v>
      </c>
      <c r="J469" s="125" t="s">
        <v>54</v>
      </c>
      <c r="K469" s="121" t="s">
        <v>55</v>
      </c>
      <c r="L469" s="143"/>
      <c r="M469" s="143"/>
      <c r="N469" s="143"/>
      <c r="O469" s="144"/>
      <c r="P469" s="140"/>
      <c r="Q469" s="140"/>
      <c r="R469" s="140"/>
      <c r="U469" s="121"/>
      <c r="V469" s="121"/>
      <c r="W469" s="121"/>
      <c r="Y469" s="121"/>
      <c r="Z469" s="121"/>
      <c r="AA469" s="14" t="s">
        <v>2586</v>
      </c>
      <c r="AB469" s="126"/>
      <c r="AD469" t="str">
        <f t="shared" si="7"/>
        <v/>
      </c>
    </row>
    <row r="470" spans="1:30" ht="13" customHeight="1" x14ac:dyDescent="0.35">
      <c r="A470" s="120" t="s">
        <v>32</v>
      </c>
      <c r="B470" s="121" t="s">
        <v>48</v>
      </c>
      <c r="C470" s="121"/>
      <c r="D470" s="121" t="s">
        <v>49</v>
      </c>
      <c r="E470" s="140" t="s">
        <v>2587</v>
      </c>
      <c r="F470" s="122" t="s">
        <v>35</v>
      </c>
      <c r="G470" s="121" t="s">
        <v>52</v>
      </c>
      <c r="H470" s="123"/>
      <c r="I470" s="141" t="s">
        <v>2588</v>
      </c>
      <c r="J470" s="125" t="s">
        <v>54</v>
      </c>
      <c r="K470" s="121" t="s">
        <v>55</v>
      </c>
      <c r="L470" s="143"/>
      <c r="M470" s="143"/>
      <c r="N470" s="143"/>
      <c r="O470" s="144"/>
      <c r="P470" s="140"/>
      <c r="Q470" s="140"/>
      <c r="R470" s="140"/>
      <c r="U470" s="121"/>
      <c r="V470" s="121"/>
      <c r="W470" s="121"/>
      <c r="Y470" s="121"/>
      <c r="Z470" s="121"/>
      <c r="AA470" s="14" t="s">
        <v>2589</v>
      </c>
      <c r="AB470" s="126"/>
      <c r="AD470" t="str">
        <f t="shared" si="7"/>
        <v/>
      </c>
    </row>
    <row r="471" spans="1:30" ht="13" customHeight="1" x14ac:dyDescent="0.35">
      <c r="A471" s="120" t="s">
        <v>32</v>
      </c>
      <c r="B471" s="121" t="s">
        <v>70</v>
      </c>
      <c r="C471" s="121"/>
      <c r="D471" s="121" t="s">
        <v>120</v>
      </c>
      <c r="E471" s="152" t="s">
        <v>2590</v>
      </c>
      <c r="F471" s="122" t="s">
        <v>103</v>
      </c>
      <c r="G471" s="152" t="s">
        <v>285</v>
      </c>
      <c r="H471" s="153"/>
      <c r="I471" s="130" t="s">
        <v>2591</v>
      </c>
      <c r="J471" s="128" t="s">
        <v>123</v>
      </c>
      <c r="K471" s="128"/>
      <c r="L471" s="154" t="s">
        <v>2231</v>
      </c>
      <c r="M471" s="155" t="s">
        <v>2232</v>
      </c>
      <c r="N471" s="154" t="s">
        <v>2233</v>
      </c>
      <c r="O471" s="131" t="s">
        <v>2592</v>
      </c>
      <c r="P471" s="128" t="s">
        <v>66</v>
      </c>
      <c r="Q471" s="128" t="s">
        <v>67</v>
      </c>
      <c r="R471" s="128" t="s">
        <v>118</v>
      </c>
      <c r="U471" s="121"/>
      <c r="V471" s="121"/>
      <c r="W471" s="121"/>
      <c r="Y471" s="121"/>
      <c r="Z471" s="121"/>
      <c r="AA471" s="14" t="s">
        <v>2593</v>
      </c>
      <c r="AB471" s="126"/>
      <c r="AD471">
        <f t="shared" si="7"/>
        <v>1</v>
      </c>
    </row>
    <row r="472" spans="1:30" ht="13" customHeight="1" x14ac:dyDescent="0.35">
      <c r="A472" s="120" t="s">
        <v>32</v>
      </c>
      <c r="B472" s="121" t="s">
        <v>70</v>
      </c>
      <c r="C472" s="121"/>
      <c r="D472" s="121" t="s">
        <v>101</v>
      </c>
      <c r="E472" s="121" t="s">
        <v>2594</v>
      </c>
      <c r="F472" s="122" t="s">
        <v>51</v>
      </c>
      <c r="G472" s="121" t="s">
        <v>52</v>
      </c>
      <c r="H472" s="123"/>
      <c r="I472" s="127" t="s">
        <v>2595</v>
      </c>
      <c r="J472" s="121" t="s">
        <v>106</v>
      </c>
      <c r="K472" s="121" t="s">
        <v>55</v>
      </c>
      <c r="L472" s="64" t="s">
        <v>2596</v>
      </c>
      <c r="M472" s="61"/>
      <c r="N472" s="61"/>
      <c r="O472" s="124" t="s">
        <v>2597</v>
      </c>
      <c r="P472" s="121" t="s">
        <v>58</v>
      </c>
      <c r="Q472" s="121" t="s">
        <v>2598</v>
      </c>
      <c r="R472" s="121" t="s">
        <v>780</v>
      </c>
      <c r="U472" s="121"/>
      <c r="V472" s="121"/>
      <c r="W472" s="121"/>
      <c r="Y472" s="121"/>
      <c r="Z472" s="121"/>
      <c r="AA472" s="14" t="s">
        <v>2599</v>
      </c>
      <c r="AB472" s="126"/>
      <c r="AD472" t="str">
        <f t="shared" si="7"/>
        <v/>
      </c>
    </row>
    <row r="473" spans="1:30" ht="13" customHeight="1" x14ac:dyDescent="0.35">
      <c r="A473" s="120" t="s">
        <v>69</v>
      </c>
      <c r="B473" s="121" t="s">
        <v>48</v>
      </c>
      <c r="C473" s="121"/>
      <c r="D473" s="121" t="s">
        <v>2600</v>
      </c>
      <c r="E473" s="132" t="s">
        <v>2601</v>
      </c>
      <c r="F473" s="122" t="s">
        <v>103</v>
      </c>
      <c r="G473" s="121"/>
      <c r="H473" s="123"/>
      <c r="I473" s="156" t="s">
        <v>2602</v>
      </c>
      <c r="J473" s="121"/>
      <c r="K473" s="121"/>
      <c r="L473" s="157" t="s">
        <v>2603</v>
      </c>
      <c r="M473" s="157" t="s">
        <v>2604</v>
      </c>
      <c r="N473" s="157" t="s">
        <v>2605</v>
      </c>
      <c r="O473" s="158" t="s">
        <v>2606</v>
      </c>
      <c r="P473" s="121"/>
      <c r="Q473" s="132"/>
      <c r="R473" s="132" t="s">
        <v>88</v>
      </c>
      <c r="S473" s="137" t="s">
        <v>2432</v>
      </c>
      <c r="T473" s="137" t="s">
        <v>2607</v>
      </c>
      <c r="U473" s="132" t="s">
        <v>2608</v>
      </c>
      <c r="V473" s="132"/>
      <c r="W473" s="132"/>
      <c r="X473" s="137" t="s">
        <v>2609</v>
      </c>
      <c r="Y473" s="121"/>
      <c r="Z473" s="121"/>
      <c r="AA473" s="14" t="s">
        <v>2610</v>
      </c>
      <c r="AB473" s="126"/>
      <c r="AD473">
        <f t="shared" si="7"/>
        <v>2</v>
      </c>
    </row>
    <row r="474" spans="1:30" ht="13" customHeight="1" x14ac:dyDescent="0.35">
      <c r="A474" s="120" t="s">
        <v>69</v>
      </c>
      <c r="B474" s="121" t="s">
        <v>70</v>
      </c>
      <c r="C474" s="121"/>
      <c r="D474" s="121" t="s">
        <v>2611</v>
      </c>
      <c r="E474" s="136" t="s">
        <v>2601</v>
      </c>
      <c r="F474" s="122" t="s">
        <v>103</v>
      </c>
      <c r="G474" s="121"/>
      <c r="H474" s="123"/>
      <c r="I474" s="159" t="s">
        <v>2612</v>
      </c>
      <c r="J474" s="160"/>
      <c r="K474" s="161"/>
      <c r="L474" s="162" t="s">
        <v>2603</v>
      </c>
      <c r="M474" s="162" t="s">
        <v>2604</v>
      </c>
      <c r="N474" s="162" t="s">
        <v>2605</v>
      </c>
      <c r="O474" s="124" t="s">
        <v>2613</v>
      </c>
      <c r="P474" s="136"/>
      <c r="Q474" s="136"/>
      <c r="R474" s="136" t="s">
        <v>78</v>
      </c>
      <c r="S474" s="163" t="s">
        <v>2443</v>
      </c>
      <c r="T474" s="163" t="s">
        <v>2607</v>
      </c>
      <c r="U474" s="136" t="s">
        <v>2614</v>
      </c>
      <c r="V474" s="164" t="s">
        <v>571</v>
      </c>
      <c r="W474" s="164"/>
      <c r="X474" s="163"/>
      <c r="Y474" s="121"/>
      <c r="Z474" s="121"/>
      <c r="AA474" s="14" t="s">
        <v>2615</v>
      </c>
      <c r="AB474" s="126"/>
      <c r="AD474">
        <f t="shared" si="7"/>
        <v>2</v>
      </c>
    </row>
    <row r="475" spans="1:30" ht="13" customHeight="1" x14ac:dyDescent="0.35">
      <c r="A475" s="120" t="s">
        <v>32</v>
      </c>
      <c r="B475" s="121" t="s">
        <v>70</v>
      </c>
      <c r="C475" s="121"/>
      <c r="D475" s="121" t="s">
        <v>120</v>
      </c>
      <c r="E475" s="128" t="s">
        <v>2616</v>
      </c>
      <c r="F475" s="122" t="s">
        <v>51</v>
      </c>
      <c r="G475" s="128" t="s">
        <v>1498</v>
      </c>
      <c r="H475" s="129"/>
      <c r="I475" s="130" t="s">
        <v>2617</v>
      </c>
      <c r="J475" s="128" t="s">
        <v>123</v>
      </c>
      <c r="K475" s="128"/>
      <c r="L475" s="165" t="s">
        <v>2618</v>
      </c>
      <c r="M475" s="165"/>
      <c r="N475" s="165"/>
      <c r="O475" s="131" t="s">
        <v>2619</v>
      </c>
      <c r="P475" s="128" t="s">
        <v>58</v>
      </c>
      <c r="Q475" s="128" t="s">
        <v>2620</v>
      </c>
      <c r="R475" s="128" t="s">
        <v>118</v>
      </c>
      <c r="U475" s="121"/>
      <c r="V475" s="121"/>
      <c r="W475" s="121"/>
      <c r="Y475" s="121"/>
      <c r="Z475" s="121"/>
      <c r="AA475" s="14" t="s">
        <v>2621</v>
      </c>
      <c r="AB475" s="126"/>
      <c r="AD475" t="str">
        <f t="shared" si="7"/>
        <v/>
      </c>
    </row>
    <row r="476" spans="1:30" ht="13" customHeight="1" x14ac:dyDescent="0.35">
      <c r="A476" s="120" t="s">
        <v>32</v>
      </c>
      <c r="B476" s="121" t="s">
        <v>70</v>
      </c>
      <c r="C476" s="121"/>
      <c r="D476" s="121" t="s">
        <v>101</v>
      </c>
      <c r="E476" s="128" t="s">
        <v>2622</v>
      </c>
      <c r="F476" s="122" t="s">
        <v>103</v>
      </c>
      <c r="G476" s="128" t="s">
        <v>1126</v>
      </c>
      <c r="H476" s="129"/>
      <c r="I476" s="130" t="s">
        <v>2623</v>
      </c>
      <c r="J476" s="128" t="s">
        <v>106</v>
      </c>
      <c r="K476" s="128"/>
      <c r="L476" s="65" t="s">
        <v>2624</v>
      </c>
      <c r="M476" s="65"/>
      <c r="N476" s="65"/>
      <c r="O476" s="131" t="s">
        <v>2625</v>
      </c>
      <c r="P476" s="128" t="s">
        <v>66</v>
      </c>
      <c r="Q476" s="147" t="s">
        <v>2626</v>
      </c>
      <c r="R476" s="121" t="s">
        <v>110</v>
      </c>
      <c r="U476" s="121"/>
      <c r="V476" s="121"/>
      <c r="W476" s="121"/>
      <c r="Y476" s="121"/>
      <c r="Z476" s="121"/>
      <c r="AA476" s="14" t="s">
        <v>2627</v>
      </c>
      <c r="AB476" s="126" t="s">
        <v>112</v>
      </c>
      <c r="AD476" t="str">
        <f t="shared" si="7"/>
        <v/>
      </c>
    </row>
    <row r="477" spans="1:30" ht="13" customHeight="1" x14ac:dyDescent="0.35">
      <c r="A477" s="120" t="s">
        <v>32</v>
      </c>
      <c r="B477" s="121" t="s">
        <v>70</v>
      </c>
      <c r="C477" s="121"/>
      <c r="D477" s="121" t="s">
        <v>101</v>
      </c>
      <c r="E477" s="121" t="s">
        <v>2628</v>
      </c>
      <c r="F477" s="122" t="s">
        <v>103</v>
      </c>
      <c r="G477" s="121" t="s">
        <v>1809</v>
      </c>
      <c r="H477" s="123"/>
      <c r="I477" s="127" t="s">
        <v>441</v>
      </c>
      <c r="J477" s="121" t="s">
        <v>106</v>
      </c>
      <c r="K477" s="121"/>
      <c r="L477" s="60" t="s">
        <v>2629</v>
      </c>
      <c r="M477" s="61" t="s">
        <v>2630</v>
      </c>
      <c r="N477" s="61" t="s">
        <v>2631</v>
      </c>
      <c r="O477" s="124" t="s">
        <v>2632</v>
      </c>
      <c r="P477" s="122" t="s">
        <v>66</v>
      </c>
      <c r="Q477" s="147" t="s">
        <v>2633</v>
      </c>
      <c r="R477" s="122" t="s">
        <v>110</v>
      </c>
      <c r="U477" s="121"/>
      <c r="V477" s="121"/>
      <c r="W477" s="121"/>
      <c r="Y477" s="121"/>
      <c r="Z477" s="121"/>
      <c r="AA477" s="14" t="s">
        <v>2634</v>
      </c>
      <c r="AB477" s="126"/>
      <c r="AD477">
        <f t="shared" si="7"/>
        <v>2</v>
      </c>
    </row>
    <row r="478" spans="1:30" ht="13" customHeight="1" x14ac:dyDescent="0.35">
      <c r="A478" s="120" t="s">
        <v>32</v>
      </c>
      <c r="B478" s="121" t="s">
        <v>70</v>
      </c>
      <c r="C478" s="121"/>
      <c r="D478" s="121" t="s">
        <v>101</v>
      </c>
      <c r="E478" s="128" t="s">
        <v>2635</v>
      </c>
      <c r="F478" s="122" t="s">
        <v>51</v>
      </c>
      <c r="G478" s="128" t="s">
        <v>2636</v>
      </c>
      <c r="H478" s="129"/>
      <c r="I478" s="130" t="s">
        <v>2637</v>
      </c>
      <c r="J478" s="128" t="s">
        <v>106</v>
      </c>
      <c r="K478" s="128"/>
      <c r="L478" s="65" t="s">
        <v>2638</v>
      </c>
      <c r="M478" s="65"/>
      <c r="N478" s="65"/>
      <c r="O478" s="131" t="s">
        <v>2639</v>
      </c>
      <c r="P478" s="128" t="s">
        <v>2640</v>
      </c>
      <c r="Q478" s="147" t="s">
        <v>2641</v>
      </c>
      <c r="R478" s="128" t="s">
        <v>110</v>
      </c>
      <c r="U478" s="121"/>
      <c r="V478" s="121"/>
      <c r="W478" s="121"/>
      <c r="Y478" s="121"/>
      <c r="Z478" s="121"/>
      <c r="AA478" s="14" t="s">
        <v>2642</v>
      </c>
      <c r="AB478" s="126"/>
      <c r="AD478" t="str">
        <f t="shared" si="7"/>
        <v/>
      </c>
    </row>
    <row r="479" spans="1:30" ht="13" customHeight="1" x14ac:dyDescent="0.35">
      <c r="A479" s="120" t="s">
        <v>32</v>
      </c>
      <c r="B479" s="121" t="s">
        <v>70</v>
      </c>
      <c r="C479" s="121"/>
      <c r="D479" s="121" t="s">
        <v>101</v>
      </c>
      <c r="E479" s="121" t="s">
        <v>2643</v>
      </c>
      <c r="F479" s="122" t="s">
        <v>35</v>
      </c>
      <c r="G479" s="121" t="s">
        <v>52</v>
      </c>
      <c r="H479" s="123"/>
      <c r="I479" s="127" t="s">
        <v>2644</v>
      </c>
      <c r="J479" s="121" t="s">
        <v>106</v>
      </c>
      <c r="K479" s="121" t="s">
        <v>132</v>
      </c>
      <c r="O479" s="124"/>
      <c r="P479" s="121"/>
      <c r="Q479" s="121"/>
      <c r="R479" s="121"/>
      <c r="U479" s="121"/>
      <c r="V479" s="121"/>
      <c r="W479" s="121"/>
      <c r="Y479" s="121"/>
      <c r="Z479" s="121"/>
      <c r="AA479" s="14" t="s">
        <v>2645</v>
      </c>
      <c r="AB479" s="126"/>
      <c r="AD479" t="str">
        <f t="shared" si="7"/>
        <v/>
      </c>
    </row>
    <row r="480" spans="1:30" ht="13" customHeight="1" x14ac:dyDescent="0.35">
      <c r="A480" s="120" t="s">
        <v>32</v>
      </c>
      <c r="B480" s="121" t="s">
        <v>70</v>
      </c>
      <c r="C480" s="121"/>
      <c r="D480" s="121" t="s">
        <v>101</v>
      </c>
      <c r="E480" s="128" t="s">
        <v>2646</v>
      </c>
      <c r="F480" s="122" t="s">
        <v>145</v>
      </c>
      <c r="G480" s="128" t="s">
        <v>2647</v>
      </c>
      <c r="H480" s="129"/>
      <c r="I480" s="130" t="s">
        <v>2648</v>
      </c>
      <c r="J480" s="128" t="s">
        <v>106</v>
      </c>
      <c r="K480" s="128"/>
      <c r="L480" s="166" t="s">
        <v>2649</v>
      </c>
      <c r="M480" s="65" t="s">
        <v>777</v>
      </c>
      <c r="N480" s="65" t="s">
        <v>2650</v>
      </c>
      <c r="O480" s="131" t="s">
        <v>2651</v>
      </c>
      <c r="P480" s="128" t="s">
        <v>66</v>
      </c>
      <c r="Q480" s="128" t="s">
        <v>2652</v>
      </c>
      <c r="R480" s="128" t="s">
        <v>110</v>
      </c>
      <c r="U480" s="121"/>
      <c r="V480" s="121"/>
      <c r="W480" s="121"/>
      <c r="Y480" s="121"/>
      <c r="Z480" s="121"/>
      <c r="AA480" s="14" t="s">
        <v>2653</v>
      </c>
      <c r="AB480" s="126" t="s">
        <v>2654</v>
      </c>
      <c r="AD480">
        <f t="shared" si="7"/>
        <v>1</v>
      </c>
    </row>
    <row r="481" spans="1:30" ht="13" customHeight="1" x14ac:dyDescent="0.35">
      <c r="A481" s="120" t="s">
        <v>32</v>
      </c>
      <c r="B481" s="121" t="s">
        <v>70</v>
      </c>
      <c r="C481" s="121"/>
      <c r="D481" s="121" t="s">
        <v>101</v>
      </c>
      <c r="E481" s="128" t="s">
        <v>2655</v>
      </c>
      <c r="F481" s="122" t="s">
        <v>103</v>
      </c>
      <c r="G481" s="128" t="s">
        <v>2656</v>
      </c>
      <c r="H481" s="129"/>
      <c r="I481" s="130" t="s">
        <v>2657</v>
      </c>
      <c r="J481" s="128" t="s">
        <v>106</v>
      </c>
      <c r="K481" s="128"/>
      <c r="L481" s="65" t="s">
        <v>2658</v>
      </c>
      <c r="M481" s="65"/>
      <c r="N481" s="65"/>
      <c r="O481" s="131" t="s">
        <v>2659</v>
      </c>
      <c r="P481" s="128" t="s">
        <v>66</v>
      </c>
      <c r="Q481" s="128" t="s">
        <v>109</v>
      </c>
      <c r="R481" s="128" t="s">
        <v>110</v>
      </c>
      <c r="U481" s="121"/>
      <c r="V481" s="121"/>
      <c r="W481" s="121"/>
      <c r="Y481" s="121"/>
      <c r="Z481" s="121"/>
      <c r="AA481" s="14" t="s">
        <v>2660</v>
      </c>
      <c r="AB481" s="126" t="s">
        <v>112</v>
      </c>
      <c r="AD481" t="str">
        <f t="shared" si="7"/>
        <v/>
      </c>
    </row>
    <row r="482" spans="1:30" ht="13" customHeight="1" x14ac:dyDescent="0.35">
      <c r="A482" s="120" t="s">
        <v>32</v>
      </c>
      <c r="B482" s="121" t="s">
        <v>70</v>
      </c>
      <c r="C482" s="121"/>
      <c r="D482" s="121" t="s">
        <v>120</v>
      </c>
      <c r="E482" s="122" t="s">
        <v>2661</v>
      </c>
      <c r="F482" s="122" t="s">
        <v>51</v>
      </c>
      <c r="G482" s="121" t="s">
        <v>52</v>
      </c>
      <c r="H482" s="123"/>
      <c r="I482" s="145" t="s">
        <v>2662</v>
      </c>
      <c r="J482" s="122" t="s">
        <v>123</v>
      </c>
      <c r="K482" s="122" t="s">
        <v>55</v>
      </c>
      <c r="L482" s="65" t="s">
        <v>2663</v>
      </c>
      <c r="M482" s="138"/>
      <c r="N482" s="138"/>
      <c r="O482" s="139" t="s">
        <v>2664</v>
      </c>
      <c r="P482" s="122" t="s">
        <v>66</v>
      </c>
      <c r="Q482" s="122" t="s">
        <v>2665</v>
      </c>
      <c r="R482" s="122" t="s">
        <v>118</v>
      </c>
      <c r="U482" s="121"/>
      <c r="V482" s="121"/>
      <c r="W482" s="121"/>
      <c r="Y482" s="121"/>
      <c r="Z482" s="121"/>
      <c r="AA482" s="14" t="s">
        <v>2666</v>
      </c>
      <c r="AB482" s="126"/>
      <c r="AD482" t="str">
        <f t="shared" si="7"/>
        <v/>
      </c>
    </row>
    <row r="483" spans="1:30" ht="13" customHeight="1" x14ac:dyDescent="0.35">
      <c r="A483" s="120" t="s">
        <v>32</v>
      </c>
      <c r="B483" s="121" t="s">
        <v>48</v>
      </c>
      <c r="C483" s="121"/>
      <c r="D483" s="121" t="s">
        <v>172</v>
      </c>
      <c r="E483" s="121" t="s">
        <v>2667</v>
      </c>
      <c r="F483" s="122" t="s">
        <v>51</v>
      </c>
      <c r="G483" s="121" t="s">
        <v>52</v>
      </c>
      <c r="H483" s="123"/>
      <c r="I483" s="127" t="s">
        <v>2668</v>
      </c>
      <c r="J483" s="121" t="s">
        <v>176</v>
      </c>
      <c r="K483" s="121" t="s">
        <v>55</v>
      </c>
      <c r="L483" s="64" t="s">
        <v>2669</v>
      </c>
      <c r="O483" s="124" t="s">
        <v>2670</v>
      </c>
      <c r="P483" s="121" t="s">
        <v>58</v>
      </c>
      <c r="Q483" s="121" t="s">
        <v>2671</v>
      </c>
      <c r="R483" s="121" t="s">
        <v>118</v>
      </c>
      <c r="U483" s="121"/>
      <c r="V483" s="121"/>
      <c r="W483" s="121"/>
      <c r="Y483" s="121"/>
      <c r="Z483" s="121"/>
      <c r="AA483" s="14" t="s">
        <v>2672</v>
      </c>
      <c r="AB483" s="126"/>
      <c r="AD483" t="str">
        <f t="shared" si="7"/>
        <v/>
      </c>
    </row>
    <row r="484" spans="1:30" ht="13" customHeight="1" x14ac:dyDescent="0.35">
      <c r="A484" s="120" t="s">
        <v>32</v>
      </c>
      <c r="B484" s="121" t="s">
        <v>48</v>
      </c>
      <c r="C484" s="121"/>
      <c r="D484" s="121" t="s">
        <v>49</v>
      </c>
      <c r="E484" s="125" t="s">
        <v>2673</v>
      </c>
      <c r="F484" s="122" t="s">
        <v>51</v>
      </c>
      <c r="G484" s="121" t="s">
        <v>174</v>
      </c>
      <c r="H484" s="123"/>
      <c r="I484" s="141" t="s">
        <v>2674</v>
      </c>
      <c r="J484" s="125" t="s">
        <v>54</v>
      </c>
      <c r="K484" s="121" t="s">
        <v>55</v>
      </c>
      <c r="L484" s="167" t="s">
        <v>2675</v>
      </c>
      <c r="M484" s="22"/>
      <c r="N484" s="22"/>
      <c r="O484" s="124" t="s">
        <v>2676</v>
      </c>
      <c r="P484" s="125" t="s">
        <v>142</v>
      </c>
      <c r="Q484" s="125" t="s">
        <v>2677</v>
      </c>
      <c r="R484" s="125" t="s">
        <v>60</v>
      </c>
      <c r="U484" s="121"/>
      <c r="V484" s="121"/>
      <c r="W484" s="121"/>
      <c r="Y484" s="121"/>
      <c r="Z484" s="121"/>
      <c r="AA484" s="14" t="s">
        <v>2678</v>
      </c>
      <c r="AB484" s="126"/>
      <c r="AD484" t="str">
        <f t="shared" si="7"/>
        <v/>
      </c>
    </row>
    <row r="485" spans="1:30" ht="13" customHeight="1" x14ac:dyDescent="0.35">
      <c r="A485" s="120" t="s">
        <v>32</v>
      </c>
      <c r="B485" s="121" t="s">
        <v>70</v>
      </c>
      <c r="C485" s="121"/>
      <c r="D485" s="121" t="s">
        <v>120</v>
      </c>
      <c r="E485" s="122" t="s">
        <v>2679</v>
      </c>
      <c r="F485" s="122" t="s">
        <v>51</v>
      </c>
      <c r="G485" s="121" t="s">
        <v>130</v>
      </c>
      <c r="H485" s="123"/>
      <c r="I485" s="145" t="s">
        <v>2674</v>
      </c>
      <c r="J485" s="122" t="s">
        <v>123</v>
      </c>
      <c r="K485" s="122" t="s">
        <v>55</v>
      </c>
      <c r="L485" s="65" t="s">
        <v>2675</v>
      </c>
      <c r="M485" s="138"/>
      <c r="N485" s="138"/>
      <c r="O485" s="139" t="s">
        <v>2680</v>
      </c>
      <c r="P485" s="122" t="s">
        <v>142</v>
      </c>
      <c r="Q485" s="122" t="s">
        <v>2681</v>
      </c>
      <c r="R485" s="122" t="s">
        <v>2682</v>
      </c>
      <c r="U485" s="121"/>
      <c r="V485" s="121"/>
      <c r="W485" s="121"/>
      <c r="Y485" s="121"/>
      <c r="Z485" s="121"/>
      <c r="AA485" s="14" t="s">
        <v>2683</v>
      </c>
      <c r="AB485" s="126"/>
      <c r="AD485" t="str">
        <f t="shared" si="7"/>
        <v/>
      </c>
    </row>
    <row r="486" spans="1:30" ht="13" customHeight="1" x14ac:dyDescent="0.35">
      <c r="A486" s="120" t="s">
        <v>32</v>
      </c>
      <c r="B486" s="121" t="s">
        <v>70</v>
      </c>
      <c r="C486" s="121"/>
      <c r="D486" s="121" t="s">
        <v>120</v>
      </c>
      <c r="E486" s="122" t="s">
        <v>2684</v>
      </c>
      <c r="F486" s="122" t="s">
        <v>51</v>
      </c>
      <c r="G486" s="121" t="s">
        <v>130</v>
      </c>
      <c r="H486" s="123"/>
      <c r="I486" s="145" t="s">
        <v>2685</v>
      </c>
      <c r="J486" s="122" t="s">
        <v>123</v>
      </c>
      <c r="K486" s="122" t="s">
        <v>55</v>
      </c>
      <c r="L486" s="65" t="s">
        <v>2675</v>
      </c>
      <c r="O486" s="139" t="s">
        <v>2676</v>
      </c>
      <c r="P486" s="122" t="s">
        <v>142</v>
      </c>
      <c r="Q486" s="122" t="s">
        <v>2686</v>
      </c>
      <c r="R486" s="122" t="s">
        <v>60</v>
      </c>
      <c r="U486" s="121"/>
      <c r="V486" s="121"/>
      <c r="W486" s="121"/>
      <c r="Y486" s="121"/>
      <c r="Z486" s="121"/>
      <c r="AA486" s="14" t="s">
        <v>2687</v>
      </c>
      <c r="AB486" s="126"/>
      <c r="AD486" t="str">
        <f t="shared" si="7"/>
        <v/>
      </c>
    </row>
    <row r="487" spans="1:30" ht="13" customHeight="1" x14ac:dyDescent="0.35">
      <c r="A487" s="120" t="s">
        <v>32</v>
      </c>
      <c r="B487" s="121" t="s">
        <v>48</v>
      </c>
      <c r="C487" s="121"/>
      <c r="D487" s="121" t="s">
        <v>172</v>
      </c>
      <c r="E487" s="121" t="s">
        <v>2688</v>
      </c>
      <c r="F487" s="122" t="s">
        <v>35</v>
      </c>
      <c r="G487" s="121" t="s">
        <v>174</v>
      </c>
      <c r="H487" s="123"/>
      <c r="I487" s="127" t="s">
        <v>2689</v>
      </c>
      <c r="J487" s="121" t="s">
        <v>176</v>
      </c>
      <c r="K487" s="121" t="s">
        <v>132</v>
      </c>
      <c r="L487" s="138"/>
      <c r="M487" s="138"/>
      <c r="N487" s="138"/>
      <c r="O487" s="139"/>
      <c r="P487" s="122"/>
      <c r="Q487" s="122"/>
      <c r="R487" s="122"/>
      <c r="U487" s="121"/>
      <c r="V487" s="121"/>
      <c r="W487" s="121"/>
      <c r="Y487" s="121"/>
      <c r="Z487" s="121"/>
      <c r="AA487" s="14" t="s">
        <v>2690</v>
      </c>
      <c r="AB487" s="126"/>
      <c r="AD487" t="str">
        <f t="shared" si="7"/>
        <v/>
      </c>
    </row>
    <row r="488" spans="1:30" ht="13" customHeight="1" x14ac:dyDescent="0.35">
      <c r="A488" s="120" t="s">
        <v>32</v>
      </c>
      <c r="B488" s="121" t="s">
        <v>48</v>
      </c>
      <c r="C488" s="121"/>
      <c r="D488" s="121" t="s">
        <v>172</v>
      </c>
      <c r="E488" s="121" t="s">
        <v>2691</v>
      </c>
      <c r="F488" s="122" t="s">
        <v>51</v>
      </c>
      <c r="G488" s="121" t="s">
        <v>174</v>
      </c>
      <c r="H488" s="123"/>
      <c r="I488" s="127" t="s">
        <v>2692</v>
      </c>
      <c r="J488" s="121" t="s">
        <v>176</v>
      </c>
      <c r="K488" s="121" t="s">
        <v>55</v>
      </c>
      <c r="L488" s="65" t="s">
        <v>2693</v>
      </c>
      <c r="O488" s="124" t="s">
        <v>2694</v>
      </c>
      <c r="P488" s="121" t="s">
        <v>66</v>
      </c>
      <c r="Q488" s="121" t="s">
        <v>67</v>
      </c>
      <c r="R488" s="121" t="s">
        <v>118</v>
      </c>
      <c r="U488" s="121"/>
      <c r="V488" s="121"/>
      <c r="W488" s="121"/>
      <c r="Y488" s="121"/>
      <c r="Z488" s="121"/>
      <c r="AA488" s="14" t="s">
        <v>2695</v>
      </c>
      <c r="AB488" s="126"/>
      <c r="AD488" t="str">
        <f t="shared" si="7"/>
        <v/>
      </c>
    </row>
    <row r="489" spans="1:30" ht="13" customHeight="1" x14ac:dyDescent="0.35">
      <c r="A489" s="120" t="s">
        <v>32</v>
      </c>
      <c r="B489" s="121" t="s">
        <v>70</v>
      </c>
      <c r="C489" s="121"/>
      <c r="D489" s="121" t="s">
        <v>120</v>
      </c>
      <c r="E489" s="128" t="s">
        <v>2696</v>
      </c>
      <c r="F489" s="122" t="s">
        <v>103</v>
      </c>
      <c r="G489" s="128" t="s">
        <v>2697</v>
      </c>
      <c r="H489" s="129"/>
      <c r="I489" s="130" t="s">
        <v>2698</v>
      </c>
      <c r="J489" s="128" t="s">
        <v>123</v>
      </c>
      <c r="K489" s="128"/>
      <c r="L489" s="65" t="s">
        <v>2699</v>
      </c>
      <c r="M489" s="65"/>
      <c r="N489" s="65"/>
      <c r="O489" s="131"/>
      <c r="P489" s="128" t="s">
        <v>66</v>
      </c>
      <c r="Q489" s="128" t="s">
        <v>2700</v>
      </c>
      <c r="R489" s="128" t="s">
        <v>60</v>
      </c>
      <c r="U489" s="121"/>
      <c r="V489" s="121"/>
      <c r="W489" s="121"/>
      <c r="Y489" s="121"/>
      <c r="Z489" s="121"/>
      <c r="AA489" s="14" t="s">
        <v>2701</v>
      </c>
      <c r="AB489" s="126" t="s">
        <v>112</v>
      </c>
      <c r="AD489" t="str">
        <f t="shared" si="7"/>
        <v/>
      </c>
    </row>
    <row r="490" spans="1:30" ht="13" customHeight="1" x14ac:dyDescent="0.35">
      <c r="A490" s="120" t="s">
        <v>32</v>
      </c>
      <c r="B490" s="121" t="s">
        <v>70</v>
      </c>
      <c r="C490" s="121"/>
      <c r="D490" s="121" t="s">
        <v>101</v>
      </c>
      <c r="E490" s="121" t="s">
        <v>2702</v>
      </c>
      <c r="F490" s="122" t="s">
        <v>35</v>
      </c>
      <c r="G490" s="121" t="s">
        <v>174</v>
      </c>
      <c r="H490" s="123"/>
      <c r="I490" s="127" t="s">
        <v>2703</v>
      </c>
      <c r="J490" s="121" t="s">
        <v>106</v>
      </c>
      <c r="K490" s="121" t="s">
        <v>132</v>
      </c>
      <c r="O490" s="124"/>
      <c r="P490" s="121"/>
      <c r="Q490" s="121"/>
      <c r="R490" s="121"/>
      <c r="U490" s="121"/>
      <c r="V490" s="121"/>
      <c r="W490" s="121"/>
      <c r="Y490" s="121"/>
      <c r="Z490" s="121"/>
      <c r="AA490" s="14" t="s">
        <v>2704</v>
      </c>
      <c r="AB490" s="126"/>
      <c r="AD490" t="str">
        <f t="shared" si="7"/>
        <v/>
      </c>
    </row>
    <row r="491" spans="1:30" ht="13" customHeight="1" x14ac:dyDescent="0.35">
      <c r="A491" s="120" t="s">
        <v>32</v>
      </c>
      <c r="B491" s="121" t="s">
        <v>70</v>
      </c>
      <c r="C491" s="121"/>
      <c r="D491" s="121" t="s">
        <v>101</v>
      </c>
      <c r="E491" s="128" t="s">
        <v>2705</v>
      </c>
      <c r="F491" s="122" t="s">
        <v>103</v>
      </c>
      <c r="G491" s="128" t="s">
        <v>2706</v>
      </c>
      <c r="H491" s="129"/>
      <c r="I491" s="168" t="s">
        <v>2707</v>
      </c>
      <c r="J491" s="128" t="s">
        <v>106</v>
      </c>
      <c r="K491" s="128"/>
      <c r="L491" s="65" t="s">
        <v>2708</v>
      </c>
      <c r="M491" s="65"/>
      <c r="N491" s="65"/>
      <c r="O491" s="131" t="s">
        <v>2709</v>
      </c>
      <c r="P491" s="128" t="s">
        <v>58</v>
      </c>
      <c r="Q491" s="152" t="s">
        <v>2710</v>
      </c>
      <c r="R491" s="128" t="s">
        <v>110</v>
      </c>
      <c r="U491" s="121"/>
      <c r="V491" s="121"/>
      <c r="W491" s="121"/>
      <c r="Y491" s="121"/>
      <c r="Z491" s="121"/>
      <c r="AA491" s="14" t="s">
        <v>2711</v>
      </c>
      <c r="AB491" s="126" t="s">
        <v>318</v>
      </c>
      <c r="AD491" t="str">
        <f t="shared" si="7"/>
        <v/>
      </c>
    </row>
    <row r="492" spans="1:30" ht="13" customHeight="1" x14ac:dyDescent="0.35">
      <c r="A492" s="120" t="s">
        <v>32</v>
      </c>
      <c r="B492" s="121" t="s">
        <v>70</v>
      </c>
      <c r="C492" s="121"/>
      <c r="D492" s="121" t="s">
        <v>101</v>
      </c>
      <c r="E492" s="121" t="s">
        <v>2712</v>
      </c>
      <c r="F492" s="122" t="s">
        <v>235</v>
      </c>
      <c r="G492" s="121" t="s">
        <v>174</v>
      </c>
      <c r="H492" s="123"/>
      <c r="I492" s="127" t="s">
        <v>2713</v>
      </c>
      <c r="J492" s="121" t="s">
        <v>106</v>
      </c>
      <c r="K492" s="121" t="s">
        <v>55</v>
      </c>
      <c r="L492" s="166" t="s">
        <v>2714</v>
      </c>
      <c r="M492" s="60" t="s">
        <v>777</v>
      </c>
      <c r="O492" s="124" t="s">
        <v>2715</v>
      </c>
      <c r="P492" s="121" t="s">
        <v>779</v>
      </c>
      <c r="Q492" s="121" t="s">
        <v>294</v>
      </c>
      <c r="R492" s="121" t="s">
        <v>110</v>
      </c>
      <c r="U492" s="121"/>
      <c r="V492" s="121"/>
      <c r="W492" s="121"/>
      <c r="Y492" s="121"/>
      <c r="Z492" s="121"/>
      <c r="AA492" s="14" t="s">
        <v>2716</v>
      </c>
      <c r="AB492" s="126"/>
      <c r="AD492">
        <f t="shared" si="7"/>
        <v>1</v>
      </c>
    </row>
    <row r="493" spans="1:30" ht="13" customHeight="1" x14ac:dyDescent="0.35">
      <c r="A493" s="120" t="s">
        <v>32</v>
      </c>
      <c r="B493" s="121" t="s">
        <v>70</v>
      </c>
      <c r="C493" s="121"/>
      <c r="D493" s="121" t="s">
        <v>120</v>
      </c>
      <c r="E493" s="169" t="s">
        <v>2717</v>
      </c>
      <c r="F493" s="122" t="s">
        <v>35</v>
      </c>
      <c r="G493" s="121" t="s">
        <v>130</v>
      </c>
      <c r="H493" s="123"/>
      <c r="I493" s="127" t="s">
        <v>2718</v>
      </c>
      <c r="J493" s="122" t="s">
        <v>123</v>
      </c>
      <c r="K493" s="122" t="s">
        <v>132</v>
      </c>
      <c r="O493" s="124"/>
      <c r="P493" s="125"/>
      <c r="Q493" s="122"/>
      <c r="R493" s="122"/>
      <c r="U493" s="121"/>
      <c r="V493" s="121"/>
      <c r="W493" s="121"/>
      <c r="Y493" s="121"/>
      <c r="Z493" s="121"/>
      <c r="AA493" s="14" t="s">
        <v>2719</v>
      </c>
      <c r="AB493" s="126"/>
      <c r="AD493" t="str">
        <f t="shared" si="7"/>
        <v/>
      </c>
    </row>
    <row r="494" spans="1:30" ht="13" customHeight="1" x14ac:dyDescent="0.35">
      <c r="A494" s="120" t="s">
        <v>32</v>
      </c>
      <c r="B494" s="121" t="s">
        <v>48</v>
      </c>
      <c r="C494" s="121"/>
      <c r="D494" s="121" t="s">
        <v>172</v>
      </c>
      <c r="E494" s="121" t="s">
        <v>2720</v>
      </c>
      <c r="F494" s="122" t="s">
        <v>145</v>
      </c>
      <c r="G494" s="121" t="s">
        <v>174</v>
      </c>
      <c r="H494" s="123"/>
      <c r="I494" s="127" t="s">
        <v>2721</v>
      </c>
      <c r="J494" s="121" t="s">
        <v>176</v>
      </c>
      <c r="K494" s="121" t="s">
        <v>55</v>
      </c>
      <c r="L494" s="166" t="s">
        <v>2722</v>
      </c>
      <c r="M494" s="60" t="s">
        <v>777</v>
      </c>
      <c r="N494" s="60" t="s">
        <v>2723</v>
      </c>
      <c r="O494" s="124" t="s">
        <v>2724</v>
      </c>
      <c r="P494" s="121" t="s">
        <v>58</v>
      </c>
      <c r="Q494" s="121" t="s">
        <v>2725</v>
      </c>
      <c r="R494" s="121" t="s">
        <v>118</v>
      </c>
      <c r="U494" s="121"/>
      <c r="V494" s="121"/>
      <c r="W494" s="121"/>
      <c r="Y494" s="121"/>
      <c r="Z494" s="121"/>
      <c r="AA494" s="14" t="s">
        <v>2726</v>
      </c>
      <c r="AB494" s="126" t="s">
        <v>2654</v>
      </c>
      <c r="AD494">
        <f t="shared" si="7"/>
        <v>1</v>
      </c>
    </row>
    <row r="495" spans="1:30" ht="13" customHeight="1" x14ac:dyDescent="0.35">
      <c r="A495" s="120" t="s">
        <v>32</v>
      </c>
      <c r="B495" s="121" t="s">
        <v>48</v>
      </c>
      <c r="C495" s="121"/>
      <c r="D495" s="121" t="s">
        <v>172</v>
      </c>
      <c r="E495" s="128" t="s">
        <v>2727</v>
      </c>
      <c r="F495" s="122" t="s">
        <v>103</v>
      </c>
      <c r="G495" s="128" t="s">
        <v>2728</v>
      </c>
      <c r="H495" s="129"/>
      <c r="I495" s="130" t="s">
        <v>2729</v>
      </c>
      <c r="J495" s="128" t="s">
        <v>176</v>
      </c>
      <c r="K495" s="128"/>
      <c r="L495" s="64" t="s">
        <v>2730</v>
      </c>
      <c r="M495" s="65"/>
      <c r="N495" s="65"/>
      <c r="O495" s="131" t="s">
        <v>2731</v>
      </c>
      <c r="P495" s="128" t="s">
        <v>66</v>
      </c>
      <c r="Q495" s="128" t="s">
        <v>67</v>
      </c>
      <c r="R495" s="128" t="s">
        <v>118</v>
      </c>
      <c r="U495" s="121"/>
      <c r="V495" s="121"/>
      <c r="W495" s="121"/>
      <c r="Y495" s="121"/>
      <c r="Z495" s="121"/>
      <c r="AA495" s="14" t="s">
        <v>2732</v>
      </c>
      <c r="AB495" s="126" t="s">
        <v>318</v>
      </c>
      <c r="AD495" t="str">
        <f t="shared" si="7"/>
        <v/>
      </c>
    </row>
    <row r="496" spans="1:30" ht="13" customHeight="1" x14ac:dyDescent="0.35">
      <c r="A496" s="120" t="s">
        <v>32</v>
      </c>
      <c r="B496" s="121" t="s">
        <v>48</v>
      </c>
      <c r="C496" s="121"/>
      <c r="D496" s="121" t="s">
        <v>49</v>
      </c>
      <c r="E496" s="170" t="s">
        <v>2733</v>
      </c>
      <c r="F496" s="122" t="s">
        <v>103</v>
      </c>
      <c r="G496" s="171" t="s">
        <v>1903</v>
      </c>
      <c r="H496" s="172"/>
      <c r="I496" s="173" t="s">
        <v>2734</v>
      </c>
      <c r="J496" s="170" t="s">
        <v>54</v>
      </c>
      <c r="K496" s="170"/>
      <c r="L496" s="174" t="s">
        <v>2735</v>
      </c>
      <c r="M496" s="174"/>
      <c r="N496" s="174"/>
      <c r="O496" s="175" t="s">
        <v>2736</v>
      </c>
      <c r="P496" s="170" t="s">
        <v>66</v>
      </c>
      <c r="Q496" s="176" t="s">
        <v>2737</v>
      </c>
      <c r="R496" s="170" t="s">
        <v>118</v>
      </c>
      <c r="U496" s="121"/>
      <c r="V496" s="121"/>
      <c r="W496" s="121"/>
      <c r="Y496" s="121"/>
      <c r="Z496" s="121"/>
      <c r="AA496" s="14" t="s">
        <v>2738</v>
      </c>
      <c r="AB496" s="126" t="s">
        <v>112</v>
      </c>
      <c r="AD496" t="str">
        <f t="shared" si="7"/>
        <v/>
      </c>
    </row>
    <row r="497" spans="1:30" ht="13" customHeight="1" x14ac:dyDescent="0.35">
      <c r="A497" s="120" t="s">
        <v>32</v>
      </c>
      <c r="B497" s="121" t="s">
        <v>70</v>
      </c>
      <c r="C497" s="121"/>
      <c r="D497" s="121" t="s">
        <v>101</v>
      </c>
      <c r="E497" s="128" t="s">
        <v>2739</v>
      </c>
      <c r="F497" s="122" t="s">
        <v>51</v>
      </c>
      <c r="G497" s="128" t="s">
        <v>1903</v>
      </c>
      <c r="H497" s="129"/>
      <c r="I497" s="130" t="s">
        <v>2740</v>
      </c>
      <c r="J497" s="128" t="s">
        <v>106</v>
      </c>
      <c r="K497" s="128"/>
      <c r="L497" s="65" t="s">
        <v>2741</v>
      </c>
      <c r="M497" s="65"/>
      <c r="N497" s="65"/>
      <c r="O497" s="131" t="s">
        <v>2742</v>
      </c>
      <c r="P497" s="128" t="s">
        <v>2743</v>
      </c>
      <c r="Q497" s="128" t="s">
        <v>2744</v>
      </c>
      <c r="R497" s="128" t="s">
        <v>110</v>
      </c>
      <c r="U497" s="121"/>
      <c r="V497" s="121"/>
      <c r="W497" s="121"/>
      <c r="Y497" s="121"/>
      <c r="Z497" s="121"/>
      <c r="AA497" s="14" t="s">
        <v>2745</v>
      </c>
      <c r="AB497" s="126"/>
      <c r="AD497" t="str">
        <f t="shared" si="7"/>
        <v/>
      </c>
    </row>
    <row r="498" spans="1:30" ht="13" customHeight="1" x14ac:dyDescent="0.35">
      <c r="A498" s="120" t="s">
        <v>32</v>
      </c>
      <c r="B498" s="121" t="s">
        <v>70</v>
      </c>
      <c r="C498" s="121"/>
      <c r="D498" s="121" t="s">
        <v>120</v>
      </c>
      <c r="E498" s="169" t="s">
        <v>2746</v>
      </c>
      <c r="F498" s="122" t="s">
        <v>35</v>
      </c>
      <c r="G498" s="121" t="s">
        <v>130</v>
      </c>
      <c r="H498" s="123"/>
      <c r="I498" s="127" t="s">
        <v>2747</v>
      </c>
      <c r="J498" s="122" t="s">
        <v>123</v>
      </c>
      <c r="K498" s="122" t="s">
        <v>132</v>
      </c>
      <c r="O498" s="124"/>
      <c r="P498" s="125"/>
      <c r="Q498" s="122"/>
      <c r="R498" s="122"/>
      <c r="U498" s="121"/>
      <c r="V498" s="121"/>
      <c r="W498" s="121"/>
      <c r="Y498" s="121"/>
      <c r="Z498" s="121"/>
      <c r="AA498" s="14" t="s">
        <v>2748</v>
      </c>
      <c r="AB498" s="126"/>
      <c r="AD498" t="str">
        <f t="shared" si="7"/>
        <v/>
      </c>
    </row>
    <row r="499" spans="1:30" ht="13" customHeight="1" x14ac:dyDescent="0.35">
      <c r="A499" s="120" t="s">
        <v>32</v>
      </c>
      <c r="B499" s="121" t="s">
        <v>70</v>
      </c>
      <c r="C499" s="121"/>
      <c r="D499" s="121" t="s">
        <v>120</v>
      </c>
      <c r="E499" s="169" t="s">
        <v>2749</v>
      </c>
      <c r="F499" s="122" t="s">
        <v>35</v>
      </c>
      <c r="G499" s="121" t="s">
        <v>130</v>
      </c>
      <c r="H499" s="123"/>
      <c r="I499" s="127" t="s">
        <v>2750</v>
      </c>
      <c r="J499" s="122" t="s">
        <v>123</v>
      </c>
      <c r="K499" s="122" t="s">
        <v>132</v>
      </c>
      <c r="O499" s="124"/>
      <c r="P499" s="125"/>
      <c r="Q499" s="122"/>
      <c r="R499" s="122"/>
      <c r="U499" s="121"/>
      <c r="V499" s="121"/>
      <c r="W499" s="121"/>
      <c r="Y499" s="121"/>
      <c r="Z499" s="121"/>
      <c r="AA499" s="14" t="s">
        <v>2751</v>
      </c>
      <c r="AB499" s="126"/>
      <c r="AD499" t="str">
        <f t="shared" si="7"/>
        <v/>
      </c>
    </row>
    <row r="500" spans="1:30" ht="13" customHeight="1" x14ac:dyDescent="0.35">
      <c r="A500" s="120" t="s">
        <v>32</v>
      </c>
      <c r="B500" s="121" t="s">
        <v>70</v>
      </c>
      <c r="C500" s="121"/>
      <c r="D500" s="121" t="s">
        <v>120</v>
      </c>
      <c r="E500" s="122" t="s">
        <v>2752</v>
      </c>
      <c r="F500" s="122" t="s">
        <v>51</v>
      </c>
      <c r="G500" s="121" t="s">
        <v>130</v>
      </c>
      <c r="H500" s="123"/>
      <c r="I500" s="145" t="s">
        <v>2224</v>
      </c>
      <c r="J500" s="122" t="s">
        <v>123</v>
      </c>
      <c r="K500" s="122" t="s">
        <v>55</v>
      </c>
      <c r="L500" s="65" t="s">
        <v>2753</v>
      </c>
      <c r="M500" s="138"/>
      <c r="N500" s="138"/>
      <c r="O500" s="139" t="s">
        <v>2754</v>
      </c>
      <c r="P500" s="122" t="s">
        <v>66</v>
      </c>
      <c r="Q500" s="147" t="s">
        <v>2755</v>
      </c>
      <c r="R500" s="122" t="s">
        <v>118</v>
      </c>
      <c r="U500" s="121"/>
      <c r="V500" s="121"/>
      <c r="W500" s="121"/>
      <c r="Y500" s="121"/>
      <c r="Z500" s="121"/>
      <c r="AA500" s="14" t="s">
        <v>2756</v>
      </c>
      <c r="AB500" s="126"/>
      <c r="AD500" t="str">
        <f t="shared" si="7"/>
        <v/>
      </c>
    </row>
    <row r="501" spans="1:30" ht="13" customHeight="1" x14ac:dyDescent="0.35">
      <c r="A501" s="120" t="s">
        <v>32</v>
      </c>
      <c r="B501" s="121" t="s">
        <v>48</v>
      </c>
      <c r="C501" s="121"/>
      <c r="D501" s="121" t="s">
        <v>172</v>
      </c>
      <c r="E501" s="128" t="s">
        <v>2757</v>
      </c>
      <c r="F501" s="122" t="s">
        <v>51</v>
      </c>
      <c r="G501" s="128" t="s">
        <v>2758</v>
      </c>
      <c r="H501" s="129"/>
      <c r="I501" s="130" t="s">
        <v>2759</v>
      </c>
      <c r="J501" s="128" t="s">
        <v>176</v>
      </c>
      <c r="K501" s="128"/>
      <c r="L501" s="65" t="s">
        <v>2760</v>
      </c>
      <c r="M501" s="65"/>
      <c r="N501" s="65"/>
      <c r="O501" s="131" t="s">
        <v>2761</v>
      </c>
      <c r="P501" s="128" t="s">
        <v>66</v>
      </c>
      <c r="Q501" s="128" t="s">
        <v>2762</v>
      </c>
      <c r="R501" s="128" t="s">
        <v>118</v>
      </c>
      <c r="U501" s="121"/>
      <c r="V501" s="121"/>
      <c r="W501" s="121"/>
      <c r="Y501" s="121"/>
      <c r="Z501" s="121"/>
      <c r="AA501" s="14" t="s">
        <v>2763</v>
      </c>
      <c r="AB501" s="126"/>
      <c r="AD501" t="str">
        <f t="shared" si="7"/>
        <v/>
      </c>
    </row>
    <row r="502" spans="1:30" ht="13" customHeight="1" x14ac:dyDescent="0.35">
      <c r="A502" s="120" t="s">
        <v>32</v>
      </c>
      <c r="B502" s="121" t="s">
        <v>48</v>
      </c>
      <c r="C502" s="121"/>
      <c r="D502" s="121" t="s">
        <v>49</v>
      </c>
      <c r="E502" s="170" t="s">
        <v>1895</v>
      </c>
      <c r="F502" s="122" t="s">
        <v>51</v>
      </c>
      <c r="G502" s="171" t="s">
        <v>1903</v>
      </c>
      <c r="H502" s="172"/>
      <c r="I502" s="173" t="s">
        <v>1904</v>
      </c>
      <c r="J502" s="170" t="s">
        <v>54</v>
      </c>
      <c r="K502" s="170"/>
      <c r="L502" s="177" t="s">
        <v>1905</v>
      </c>
      <c r="M502" s="174"/>
      <c r="N502" s="174"/>
      <c r="O502" s="175" t="s">
        <v>1906</v>
      </c>
      <c r="P502" s="170" t="s">
        <v>66</v>
      </c>
      <c r="Q502" s="170" t="s">
        <v>1907</v>
      </c>
      <c r="R502" s="170" t="s">
        <v>118</v>
      </c>
      <c r="U502" s="121"/>
      <c r="V502" s="121"/>
      <c r="W502" s="121"/>
      <c r="Y502" s="121"/>
      <c r="Z502" s="121"/>
      <c r="AA502" s="14" t="s">
        <v>2764</v>
      </c>
      <c r="AB502" s="126"/>
      <c r="AD502" t="str">
        <f t="shared" si="7"/>
        <v/>
      </c>
    </row>
    <row r="503" spans="1:30" ht="13" customHeight="1" x14ac:dyDescent="0.35">
      <c r="A503" s="120" t="s">
        <v>32</v>
      </c>
      <c r="B503" s="121" t="s">
        <v>48</v>
      </c>
      <c r="C503" s="121"/>
      <c r="D503" s="121" t="s">
        <v>49</v>
      </c>
      <c r="E503" s="140" t="s">
        <v>2765</v>
      </c>
      <c r="F503" s="122" t="s">
        <v>35</v>
      </c>
      <c r="G503" s="121" t="s">
        <v>52</v>
      </c>
      <c r="H503" s="123"/>
      <c r="I503" s="141" t="s">
        <v>2766</v>
      </c>
      <c r="J503" s="125" t="s">
        <v>54</v>
      </c>
      <c r="K503" s="121" t="s">
        <v>132</v>
      </c>
      <c r="L503" s="143"/>
      <c r="M503" s="143"/>
      <c r="N503" s="143"/>
      <c r="O503" s="144"/>
      <c r="P503" s="140"/>
      <c r="Q503" s="169"/>
      <c r="R503" s="140"/>
      <c r="U503" s="121"/>
      <c r="V503" s="121"/>
      <c r="W503" s="121"/>
      <c r="Y503" s="121"/>
      <c r="Z503" s="121"/>
      <c r="AA503" s="14" t="s">
        <v>2767</v>
      </c>
      <c r="AB503" s="126"/>
      <c r="AD503" t="str">
        <f t="shared" si="7"/>
        <v/>
      </c>
    </row>
    <row r="504" spans="1:30" ht="13" customHeight="1" x14ac:dyDescent="0.35">
      <c r="A504" s="120" t="s">
        <v>69</v>
      </c>
      <c r="B504" s="121" t="s">
        <v>70</v>
      </c>
      <c r="C504" s="121"/>
      <c r="D504" s="121" t="s">
        <v>2768</v>
      </c>
      <c r="E504" s="136" t="s">
        <v>540</v>
      </c>
      <c r="F504" s="122" t="s">
        <v>548</v>
      </c>
      <c r="G504" s="121"/>
      <c r="H504" s="123"/>
      <c r="I504" s="159" t="s">
        <v>2769</v>
      </c>
      <c r="J504" s="136"/>
      <c r="K504" s="136"/>
      <c r="L504" s="178" t="s">
        <v>2770</v>
      </c>
      <c r="M504" s="178" t="s">
        <v>2771</v>
      </c>
      <c r="N504" s="178" t="s">
        <v>2772</v>
      </c>
      <c r="O504" s="124" t="s">
        <v>543</v>
      </c>
      <c r="P504" s="136" t="s">
        <v>2773</v>
      </c>
      <c r="Q504" s="136" t="s">
        <v>2774</v>
      </c>
      <c r="R504" s="136" t="s">
        <v>78</v>
      </c>
      <c r="S504" s="163" t="s">
        <v>1112</v>
      </c>
      <c r="T504" s="163" t="s">
        <v>2775</v>
      </c>
      <c r="U504" s="136" t="s">
        <v>2776</v>
      </c>
      <c r="V504" s="136"/>
      <c r="W504" s="136"/>
      <c r="X504" s="163"/>
      <c r="Y504" s="121"/>
      <c r="Z504" s="121" t="s">
        <v>2777</v>
      </c>
      <c r="AA504" s="14" t="s">
        <v>2778</v>
      </c>
      <c r="AB504" s="126"/>
      <c r="AD504">
        <f t="shared" si="7"/>
        <v>1</v>
      </c>
    </row>
    <row r="505" spans="1:30" ht="13" customHeight="1" x14ac:dyDescent="0.35">
      <c r="A505" s="120" t="s">
        <v>69</v>
      </c>
      <c r="B505" s="121" t="s">
        <v>48</v>
      </c>
      <c r="C505" s="121"/>
      <c r="D505" s="121" t="s">
        <v>2779</v>
      </c>
      <c r="E505" s="132" t="s">
        <v>540</v>
      </c>
      <c r="F505" s="122" t="s">
        <v>548</v>
      </c>
      <c r="G505" s="121"/>
      <c r="H505" s="123"/>
      <c r="I505" s="156" t="s">
        <v>2780</v>
      </c>
      <c r="J505" s="121"/>
      <c r="K505" s="121"/>
      <c r="L505" s="179" t="s">
        <v>2770</v>
      </c>
      <c r="M505" s="179" t="s">
        <v>2771</v>
      </c>
      <c r="N505" s="179" t="s">
        <v>2772</v>
      </c>
      <c r="O505" s="158" t="s">
        <v>543</v>
      </c>
      <c r="P505" s="121" t="s">
        <v>2773</v>
      </c>
      <c r="Q505" s="132" t="s">
        <v>2774</v>
      </c>
      <c r="R505" s="132" t="s">
        <v>88</v>
      </c>
      <c r="S505" s="137" t="s">
        <v>568</v>
      </c>
      <c r="T505" s="137" t="s">
        <v>2781</v>
      </c>
      <c r="U505" s="132" t="s">
        <v>2782</v>
      </c>
      <c r="V505" s="132"/>
      <c r="W505" s="132"/>
      <c r="X505" s="137" t="s">
        <v>2783</v>
      </c>
      <c r="Y505" s="121"/>
      <c r="Z505" s="121" t="s">
        <v>2777</v>
      </c>
      <c r="AA505" s="14" t="s">
        <v>2784</v>
      </c>
      <c r="AB505" s="126"/>
      <c r="AD505">
        <f t="shared" si="7"/>
        <v>1</v>
      </c>
    </row>
    <row r="506" spans="1:30" ht="13" customHeight="1" x14ac:dyDescent="0.35">
      <c r="A506" s="120" t="s">
        <v>32</v>
      </c>
      <c r="B506" s="121" t="s">
        <v>48</v>
      </c>
      <c r="C506" s="121"/>
      <c r="D506" s="121" t="s">
        <v>172</v>
      </c>
      <c r="E506" s="121" t="s">
        <v>2785</v>
      </c>
      <c r="F506" s="122" t="s">
        <v>51</v>
      </c>
      <c r="G506" s="121" t="s">
        <v>622</v>
      </c>
      <c r="H506" s="123"/>
      <c r="I506" s="127" t="s">
        <v>2786</v>
      </c>
      <c r="J506" s="121" t="s">
        <v>176</v>
      </c>
      <c r="K506" s="121" t="s">
        <v>55</v>
      </c>
      <c r="L506" s="65" t="s">
        <v>2787</v>
      </c>
      <c r="O506" s="124" t="s">
        <v>2788</v>
      </c>
      <c r="P506" s="121" t="s">
        <v>58</v>
      </c>
      <c r="Q506" s="147" t="s">
        <v>2789</v>
      </c>
      <c r="R506" s="121" t="s">
        <v>118</v>
      </c>
      <c r="U506" s="121"/>
      <c r="V506" s="121"/>
      <c r="W506" s="121"/>
      <c r="Y506" s="121"/>
      <c r="Z506" s="121"/>
      <c r="AA506" s="14" t="s">
        <v>2790</v>
      </c>
      <c r="AB506" s="126"/>
      <c r="AD506" t="str">
        <f t="shared" si="7"/>
        <v/>
      </c>
    </row>
    <row r="507" spans="1:30" ht="13" customHeight="1" x14ac:dyDescent="0.35">
      <c r="A507" s="120" t="s">
        <v>32</v>
      </c>
      <c r="B507" s="121" t="s">
        <v>70</v>
      </c>
      <c r="C507" s="121"/>
      <c r="D507" s="121" t="s">
        <v>101</v>
      </c>
      <c r="E507" s="128" t="s">
        <v>2791</v>
      </c>
      <c r="F507" s="122" t="s">
        <v>103</v>
      </c>
      <c r="G507" s="128" t="s">
        <v>1498</v>
      </c>
      <c r="H507" s="129"/>
      <c r="I507" s="130" t="s">
        <v>2792</v>
      </c>
      <c r="J507" s="128" t="s">
        <v>106</v>
      </c>
      <c r="K507" s="128"/>
      <c r="L507" s="65" t="s">
        <v>2793</v>
      </c>
      <c r="M507" s="65"/>
      <c r="N507" s="65"/>
      <c r="O507" s="131" t="s">
        <v>2794</v>
      </c>
      <c r="P507" s="128" t="s">
        <v>2640</v>
      </c>
      <c r="Q507" s="128" t="s">
        <v>2795</v>
      </c>
      <c r="R507" s="128" t="s">
        <v>110</v>
      </c>
      <c r="U507" s="121"/>
      <c r="V507" s="121"/>
      <c r="W507" s="121"/>
      <c r="Y507" s="121"/>
      <c r="Z507" s="121"/>
      <c r="AA507" s="14" t="s">
        <v>2796</v>
      </c>
      <c r="AB507" s="126" t="s">
        <v>318</v>
      </c>
      <c r="AD507" t="str">
        <f t="shared" si="7"/>
        <v/>
      </c>
    </row>
    <row r="508" spans="1:30" ht="13" customHeight="1" x14ac:dyDescent="0.35">
      <c r="A508" s="120" t="s">
        <v>32</v>
      </c>
      <c r="B508" s="121" t="s">
        <v>48</v>
      </c>
      <c r="C508" s="121"/>
      <c r="D508" s="121" t="s">
        <v>172</v>
      </c>
      <c r="E508" s="121" t="s">
        <v>2797</v>
      </c>
      <c r="F508" s="122" t="s">
        <v>35</v>
      </c>
      <c r="G508" s="121" t="s">
        <v>174</v>
      </c>
      <c r="H508" s="123"/>
      <c r="I508" s="127" t="s">
        <v>1926</v>
      </c>
      <c r="J508" s="121" t="s">
        <v>176</v>
      </c>
      <c r="K508" s="121" t="s">
        <v>55</v>
      </c>
      <c r="L508" s="61"/>
      <c r="M508" s="61"/>
      <c r="N508" s="61"/>
      <c r="O508" s="124"/>
      <c r="P508" s="121"/>
      <c r="Q508" s="121"/>
      <c r="R508" s="121"/>
      <c r="U508" s="121"/>
      <c r="V508" s="121"/>
      <c r="W508" s="121"/>
      <c r="Y508" s="121"/>
      <c r="Z508" s="121"/>
      <c r="AA508" s="14" t="s">
        <v>2798</v>
      </c>
      <c r="AB508" s="126"/>
      <c r="AD508" t="str">
        <f t="shared" si="7"/>
        <v/>
      </c>
    </row>
    <row r="509" spans="1:30" ht="13" customHeight="1" x14ac:dyDescent="0.35">
      <c r="A509" s="120" t="s">
        <v>32</v>
      </c>
      <c r="B509" s="121" t="s">
        <v>70</v>
      </c>
      <c r="C509" s="121"/>
      <c r="D509" s="121" t="s">
        <v>120</v>
      </c>
      <c r="E509" s="122" t="s">
        <v>2799</v>
      </c>
      <c r="F509" s="122" t="s">
        <v>51</v>
      </c>
      <c r="G509" s="121" t="s">
        <v>130</v>
      </c>
      <c r="H509" s="123"/>
      <c r="I509" s="145" t="s">
        <v>2800</v>
      </c>
      <c r="J509" s="122" t="s">
        <v>123</v>
      </c>
      <c r="K509" s="122" t="s">
        <v>55</v>
      </c>
      <c r="L509" s="65" t="s">
        <v>2801</v>
      </c>
      <c r="M509" s="138"/>
      <c r="N509" s="138"/>
      <c r="O509" s="139" t="s">
        <v>2802</v>
      </c>
      <c r="P509" s="122" t="s">
        <v>66</v>
      </c>
      <c r="Q509" s="122" t="s">
        <v>2227</v>
      </c>
      <c r="R509" s="122" t="s">
        <v>2682</v>
      </c>
      <c r="U509" s="121"/>
      <c r="V509" s="121"/>
      <c r="W509" s="121"/>
      <c r="Y509" s="121"/>
      <c r="Z509" s="121"/>
      <c r="AA509" s="14" t="s">
        <v>2803</v>
      </c>
      <c r="AB509" s="126"/>
      <c r="AD509" t="str">
        <f t="shared" si="7"/>
        <v/>
      </c>
    </row>
    <row r="510" spans="1:30" ht="13" customHeight="1" x14ac:dyDescent="0.35">
      <c r="A510" s="120" t="s">
        <v>32</v>
      </c>
      <c r="B510" s="121" t="s">
        <v>48</v>
      </c>
      <c r="C510" s="121"/>
      <c r="D510" s="121" t="s">
        <v>49</v>
      </c>
      <c r="E510" s="125" t="s">
        <v>2804</v>
      </c>
      <c r="F510" s="122" t="s">
        <v>35</v>
      </c>
      <c r="G510" s="121" t="s">
        <v>52</v>
      </c>
      <c r="H510" s="123"/>
      <c r="I510" s="141" t="s">
        <v>2805</v>
      </c>
      <c r="J510" s="125" t="s">
        <v>54</v>
      </c>
      <c r="K510" s="121" t="s">
        <v>55</v>
      </c>
      <c r="O510" s="180"/>
      <c r="P510" s="121"/>
      <c r="Q510" s="121"/>
      <c r="R510" s="121"/>
      <c r="U510" s="121"/>
      <c r="V510" s="121"/>
      <c r="W510" s="121"/>
      <c r="Y510" s="121"/>
      <c r="Z510" s="121"/>
      <c r="AA510" s="14" t="s">
        <v>2806</v>
      </c>
      <c r="AB510" s="126"/>
      <c r="AD510" t="str">
        <f t="shared" si="7"/>
        <v/>
      </c>
    </row>
    <row r="511" spans="1:30" ht="13" customHeight="1" x14ac:dyDescent="0.35">
      <c r="A511" s="120" t="s">
        <v>32</v>
      </c>
      <c r="B511" s="121" t="s">
        <v>48</v>
      </c>
      <c r="C511" s="121"/>
      <c r="D511" s="121" t="s">
        <v>172</v>
      </c>
      <c r="E511" s="121" t="s">
        <v>2807</v>
      </c>
      <c r="F511" s="122" t="s">
        <v>103</v>
      </c>
      <c r="G511" s="121" t="s">
        <v>52</v>
      </c>
      <c r="H511" s="123"/>
      <c r="I511" s="127" t="s">
        <v>2808</v>
      </c>
      <c r="J511" s="121" t="s">
        <v>176</v>
      </c>
      <c r="K511" s="121" t="s">
        <v>55</v>
      </c>
      <c r="L511" s="166" t="s">
        <v>2809</v>
      </c>
      <c r="M511" s="60" t="s">
        <v>777</v>
      </c>
      <c r="N511" s="60" t="s">
        <v>2810</v>
      </c>
      <c r="O511" s="124" t="s">
        <v>2811</v>
      </c>
      <c r="P511" s="121" t="s">
        <v>66</v>
      </c>
      <c r="Q511" s="121" t="s">
        <v>109</v>
      </c>
      <c r="R511" s="121" t="s">
        <v>110</v>
      </c>
      <c r="U511" s="121"/>
      <c r="V511" s="121"/>
      <c r="W511" s="121"/>
      <c r="Y511" s="121"/>
      <c r="Z511" s="121"/>
      <c r="AA511" s="14" t="s">
        <v>2812</v>
      </c>
      <c r="AB511" s="126"/>
      <c r="AD511">
        <f t="shared" si="7"/>
        <v>1</v>
      </c>
    </row>
    <row r="512" spans="1:30" ht="13" customHeight="1" x14ac:dyDescent="0.35">
      <c r="A512" s="120" t="s">
        <v>32</v>
      </c>
      <c r="B512" s="121" t="s">
        <v>70</v>
      </c>
      <c r="C512" s="121"/>
      <c r="D512" s="121" t="s">
        <v>101</v>
      </c>
      <c r="E512" s="121" t="s">
        <v>2813</v>
      </c>
      <c r="F512" s="122" t="s">
        <v>35</v>
      </c>
      <c r="G512" s="121" t="s">
        <v>174</v>
      </c>
      <c r="H512" s="123"/>
      <c r="I512" s="127" t="s">
        <v>2814</v>
      </c>
      <c r="J512" s="121" t="s">
        <v>106</v>
      </c>
      <c r="K512" s="121" t="s">
        <v>132</v>
      </c>
      <c r="O512" s="124"/>
      <c r="P512" s="121"/>
      <c r="Q512" s="121"/>
      <c r="R512" s="121"/>
      <c r="U512" s="121"/>
      <c r="V512" s="121"/>
      <c r="W512" s="121"/>
      <c r="Y512" s="121"/>
      <c r="Z512" s="121"/>
      <c r="AA512" s="14" t="s">
        <v>2815</v>
      </c>
      <c r="AB512" s="126"/>
      <c r="AD512" t="str">
        <f t="shared" si="7"/>
        <v/>
      </c>
    </row>
    <row r="513" spans="1:30" ht="13" customHeight="1" x14ac:dyDescent="0.35">
      <c r="A513" s="120" t="s">
        <v>32</v>
      </c>
      <c r="B513" s="121" t="s">
        <v>48</v>
      </c>
      <c r="C513" s="121"/>
      <c r="D513" s="121" t="s">
        <v>172</v>
      </c>
      <c r="E513" s="121" t="s">
        <v>2816</v>
      </c>
      <c r="F513" s="122" t="s">
        <v>51</v>
      </c>
      <c r="G513" s="121" t="s">
        <v>174</v>
      </c>
      <c r="H513" s="123"/>
      <c r="I513" s="127" t="s">
        <v>2817</v>
      </c>
      <c r="J513" s="121" t="s">
        <v>176</v>
      </c>
      <c r="K513" s="121" t="s">
        <v>55</v>
      </c>
      <c r="L513" s="65" t="s">
        <v>218</v>
      </c>
      <c r="O513" s="124" t="s">
        <v>2818</v>
      </c>
      <c r="P513" s="121" t="s">
        <v>66</v>
      </c>
      <c r="Q513" s="121" t="s">
        <v>2819</v>
      </c>
      <c r="R513" s="121" t="s">
        <v>118</v>
      </c>
      <c r="U513" s="121"/>
      <c r="V513" s="121"/>
      <c r="W513" s="121"/>
      <c r="Y513" s="121"/>
      <c r="Z513" s="121"/>
      <c r="AA513" s="14" t="s">
        <v>2820</v>
      </c>
      <c r="AB513" s="126"/>
      <c r="AD513" t="str">
        <f t="shared" si="7"/>
        <v/>
      </c>
    </row>
    <row r="514" spans="1:30" ht="13" customHeight="1" x14ac:dyDescent="0.35">
      <c r="A514" s="120" t="s">
        <v>32</v>
      </c>
      <c r="B514" s="121" t="s">
        <v>48</v>
      </c>
      <c r="C514" s="121"/>
      <c r="D514" s="121" t="s">
        <v>49</v>
      </c>
      <c r="E514" s="125" t="s">
        <v>2821</v>
      </c>
      <c r="F514" s="122" t="s">
        <v>51</v>
      </c>
      <c r="G514" s="121" t="s">
        <v>52</v>
      </c>
      <c r="H514" s="123"/>
      <c r="I514" s="141" t="s">
        <v>2822</v>
      </c>
      <c r="J514" s="125" t="s">
        <v>54</v>
      </c>
      <c r="K514" s="121" t="s">
        <v>55</v>
      </c>
      <c r="L514" s="174" t="s">
        <v>2823</v>
      </c>
      <c r="M514" s="181"/>
      <c r="N514" s="181"/>
      <c r="O514" s="180" t="s">
        <v>2824</v>
      </c>
      <c r="P514" s="125" t="s">
        <v>66</v>
      </c>
      <c r="Q514" s="125" t="s">
        <v>67</v>
      </c>
      <c r="R514" s="125" t="s">
        <v>118</v>
      </c>
      <c r="U514" s="121"/>
      <c r="V514" s="121"/>
      <c r="W514" s="121"/>
      <c r="Y514" s="121"/>
      <c r="Z514" s="121"/>
      <c r="AA514" s="14" t="s">
        <v>2825</v>
      </c>
      <c r="AB514" s="126"/>
      <c r="AD514" t="str">
        <f t="shared" ref="AD514:AD577" si="8">IF(M514="","",COUNTA(_xlfn.TEXTSPLIT(M514,CHAR(10))))</f>
        <v/>
      </c>
    </row>
    <row r="515" spans="1:30" ht="13" customHeight="1" x14ac:dyDescent="0.35">
      <c r="A515" s="120" t="s">
        <v>32</v>
      </c>
      <c r="B515" s="121" t="s">
        <v>48</v>
      </c>
      <c r="C515" s="121"/>
      <c r="D515" s="121" t="s">
        <v>172</v>
      </c>
      <c r="E515" s="121" t="s">
        <v>2826</v>
      </c>
      <c r="F515" s="122" t="s">
        <v>35</v>
      </c>
      <c r="G515" s="121" t="s">
        <v>52</v>
      </c>
      <c r="H515" s="123"/>
      <c r="I515" s="127" t="s">
        <v>2827</v>
      </c>
      <c r="J515" s="121" t="s">
        <v>176</v>
      </c>
      <c r="K515" s="121" t="s">
        <v>55</v>
      </c>
      <c r="O515" s="124"/>
      <c r="P515" s="121"/>
      <c r="Q515" s="121"/>
      <c r="R515" s="121"/>
      <c r="U515" s="121"/>
      <c r="V515" s="121"/>
      <c r="W515" s="121"/>
      <c r="Y515" s="121"/>
      <c r="Z515" s="121"/>
      <c r="AA515" s="14" t="s">
        <v>2828</v>
      </c>
      <c r="AB515" s="126"/>
      <c r="AD515" t="str">
        <f t="shared" si="8"/>
        <v/>
      </c>
    </row>
    <row r="516" spans="1:30" ht="13" customHeight="1" x14ac:dyDescent="0.35">
      <c r="A516" s="120" t="s">
        <v>32</v>
      </c>
      <c r="B516" s="121" t="s">
        <v>70</v>
      </c>
      <c r="C516" s="121"/>
      <c r="D516" s="121" t="s">
        <v>101</v>
      </c>
      <c r="E516" s="121" t="s">
        <v>2829</v>
      </c>
      <c r="F516" s="122" t="s">
        <v>35</v>
      </c>
      <c r="G516" s="121" t="s">
        <v>52</v>
      </c>
      <c r="H516" s="123"/>
      <c r="I516" s="127" t="s">
        <v>2830</v>
      </c>
      <c r="J516" s="121" t="s">
        <v>106</v>
      </c>
      <c r="K516" s="121" t="s">
        <v>55</v>
      </c>
      <c r="O516" s="124"/>
      <c r="P516" s="121"/>
      <c r="Q516" s="121"/>
      <c r="R516" s="121"/>
      <c r="U516" s="121"/>
      <c r="V516" s="121"/>
      <c r="W516" s="121"/>
      <c r="Y516" s="121"/>
      <c r="Z516" s="121"/>
      <c r="AA516" s="14" t="s">
        <v>2831</v>
      </c>
      <c r="AB516" s="126"/>
      <c r="AD516" t="str">
        <f t="shared" si="8"/>
        <v/>
      </c>
    </row>
    <row r="517" spans="1:30" ht="13" customHeight="1" x14ac:dyDescent="0.35">
      <c r="A517" s="120" t="s">
        <v>32</v>
      </c>
      <c r="B517" s="121" t="s">
        <v>48</v>
      </c>
      <c r="C517" s="121"/>
      <c r="D517" s="121" t="s">
        <v>172</v>
      </c>
      <c r="E517" s="128" t="s">
        <v>2832</v>
      </c>
      <c r="F517" s="122" t="s">
        <v>103</v>
      </c>
      <c r="G517" s="128" t="s">
        <v>2833</v>
      </c>
      <c r="H517" s="129"/>
      <c r="I517" s="182" t="s">
        <v>2834</v>
      </c>
      <c r="J517" s="128" t="s">
        <v>176</v>
      </c>
      <c r="K517" s="128"/>
      <c r="L517" s="183" t="s">
        <v>2835</v>
      </c>
      <c r="M517" s="65"/>
      <c r="N517" s="65"/>
      <c r="O517" s="184" t="s">
        <v>2836</v>
      </c>
      <c r="P517" s="128" t="s">
        <v>142</v>
      </c>
      <c r="Q517" s="147" t="s">
        <v>2837</v>
      </c>
      <c r="R517" s="128" t="s">
        <v>118</v>
      </c>
      <c r="U517" s="121"/>
      <c r="V517" s="121"/>
      <c r="W517" s="121"/>
      <c r="Y517" s="121"/>
      <c r="Z517" s="121"/>
      <c r="AA517" s="14" t="s">
        <v>2838</v>
      </c>
      <c r="AB517" s="126" t="s">
        <v>112</v>
      </c>
      <c r="AD517" t="str">
        <f t="shared" si="8"/>
        <v/>
      </c>
    </row>
    <row r="518" spans="1:30" ht="13" customHeight="1" x14ac:dyDescent="0.35">
      <c r="A518" s="120" t="s">
        <v>32</v>
      </c>
      <c r="B518" s="121" t="s">
        <v>70</v>
      </c>
      <c r="C518" s="121"/>
      <c r="D518" s="121" t="s">
        <v>101</v>
      </c>
      <c r="E518" s="128" t="s">
        <v>2839</v>
      </c>
      <c r="F518" s="122" t="s">
        <v>103</v>
      </c>
      <c r="G518" s="185" t="s">
        <v>2840</v>
      </c>
      <c r="H518" s="129"/>
      <c r="I518" s="130" t="s">
        <v>2841</v>
      </c>
      <c r="J518" s="128" t="s">
        <v>106</v>
      </c>
      <c r="K518" s="128"/>
      <c r="L518" s="65" t="s">
        <v>2842</v>
      </c>
      <c r="M518" s="65"/>
      <c r="N518" s="65"/>
      <c r="O518" s="131" t="s">
        <v>778</v>
      </c>
      <c r="P518" s="128" t="s">
        <v>779</v>
      </c>
      <c r="Q518" s="128" t="s">
        <v>109</v>
      </c>
      <c r="R518" s="128" t="s">
        <v>110</v>
      </c>
      <c r="U518" s="121"/>
      <c r="V518" s="121"/>
      <c r="W518" s="121"/>
      <c r="Y518" s="121"/>
      <c r="Z518" s="121"/>
      <c r="AA518" s="14" t="s">
        <v>2843</v>
      </c>
      <c r="AB518" s="126" t="s">
        <v>112</v>
      </c>
      <c r="AD518" t="str">
        <f t="shared" si="8"/>
        <v/>
      </c>
    </row>
    <row r="519" spans="1:30" ht="13" customHeight="1" x14ac:dyDescent="0.35">
      <c r="A519" s="120" t="s">
        <v>32</v>
      </c>
      <c r="B519" s="121" t="s">
        <v>48</v>
      </c>
      <c r="C519" s="121"/>
      <c r="D519" s="121" t="s">
        <v>49</v>
      </c>
      <c r="E519" s="125" t="s">
        <v>2844</v>
      </c>
      <c r="F519" s="122" t="s">
        <v>235</v>
      </c>
      <c r="G519" s="121" t="s">
        <v>174</v>
      </c>
      <c r="H519" s="123"/>
      <c r="I519" s="141" t="s">
        <v>2845</v>
      </c>
      <c r="J519" s="125" t="s">
        <v>54</v>
      </c>
      <c r="K519" s="121" t="s">
        <v>55</v>
      </c>
      <c r="L519" s="21" t="s">
        <v>2846</v>
      </c>
      <c r="M519" s="181" t="s">
        <v>777</v>
      </c>
      <c r="N519" s="181"/>
      <c r="O519" s="180" t="s">
        <v>2847</v>
      </c>
      <c r="P519" s="125" t="s">
        <v>66</v>
      </c>
      <c r="Q519" s="125" t="s">
        <v>67</v>
      </c>
      <c r="R519" s="125" t="s">
        <v>60</v>
      </c>
      <c r="U519" s="121"/>
      <c r="V519" s="121"/>
      <c r="W519" s="121"/>
      <c r="Y519" s="121"/>
      <c r="Z519" s="121"/>
      <c r="AA519" s="14" t="s">
        <v>2848</v>
      </c>
      <c r="AB519" s="126"/>
      <c r="AD519">
        <f t="shared" si="8"/>
        <v>1</v>
      </c>
    </row>
    <row r="520" spans="1:30" ht="13" customHeight="1" x14ac:dyDescent="0.35">
      <c r="A520" s="120" t="s">
        <v>32</v>
      </c>
      <c r="B520" s="121" t="s">
        <v>48</v>
      </c>
      <c r="C520" s="121"/>
      <c r="D520" s="121" t="s">
        <v>49</v>
      </c>
      <c r="E520" s="171" t="s">
        <v>2849</v>
      </c>
      <c r="F520" s="122" t="s">
        <v>103</v>
      </c>
      <c r="G520" s="171" t="s">
        <v>2850</v>
      </c>
      <c r="H520" s="172"/>
      <c r="I520" s="173" t="s">
        <v>2851</v>
      </c>
      <c r="J520" s="170" t="s">
        <v>54</v>
      </c>
      <c r="K520" s="170"/>
      <c r="L520" s="174" t="s">
        <v>2852</v>
      </c>
      <c r="M520" s="174"/>
      <c r="N520" s="174"/>
      <c r="O520" s="175" t="s">
        <v>2853</v>
      </c>
      <c r="P520" s="170" t="s">
        <v>58</v>
      </c>
      <c r="Q520" s="170" t="s">
        <v>2854</v>
      </c>
      <c r="R520" s="170" t="s">
        <v>60</v>
      </c>
      <c r="U520" s="121"/>
      <c r="V520" s="121"/>
      <c r="W520" s="121"/>
      <c r="Y520" s="121"/>
      <c r="Z520" s="121"/>
      <c r="AA520" s="14" t="s">
        <v>2855</v>
      </c>
      <c r="AB520" s="126" t="s">
        <v>318</v>
      </c>
      <c r="AD520" t="str">
        <f t="shared" si="8"/>
        <v/>
      </c>
    </row>
    <row r="521" spans="1:30" ht="13" customHeight="1" x14ac:dyDescent="0.35">
      <c r="A521" s="120" t="s">
        <v>32</v>
      </c>
      <c r="B521" s="121" t="s">
        <v>70</v>
      </c>
      <c r="C521" s="121"/>
      <c r="D521" s="121" t="s">
        <v>120</v>
      </c>
      <c r="E521" s="128" t="s">
        <v>2856</v>
      </c>
      <c r="F521" s="122" t="s">
        <v>103</v>
      </c>
      <c r="G521" s="128" t="s">
        <v>2857</v>
      </c>
      <c r="H521" s="129"/>
      <c r="I521" s="130" t="s">
        <v>2858</v>
      </c>
      <c r="J521" s="128" t="s">
        <v>123</v>
      </c>
      <c r="K521" s="128"/>
      <c r="L521" s="65" t="s">
        <v>2852</v>
      </c>
      <c r="M521" s="65"/>
      <c r="N521" s="65"/>
      <c r="O521" s="131" t="s">
        <v>2853</v>
      </c>
      <c r="P521" s="128" t="s">
        <v>58</v>
      </c>
      <c r="Q521" s="128" t="s">
        <v>2854</v>
      </c>
      <c r="R521" s="128" t="s">
        <v>60</v>
      </c>
      <c r="U521" s="121"/>
      <c r="V521" s="121"/>
      <c r="W521" s="121"/>
      <c r="Y521" s="121"/>
      <c r="Z521" s="121"/>
      <c r="AA521" s="14" t="s">
        <v>2859</v>
      </c>
      <c r="AB521" s="126" t="s">
        <v>112</v>
      </c>
      <c r="AD521" t="str">
        <f t="shared" si="8"/>
        <v/>
      </c>
    </row>
    <row r="522" spans="1:30" ht="13" customHeight="1" x14ac:dyDescent="0.35">
      <c r="A522" s="120" t="s">
        <v>32</v>
      </c>
      <c r="B522" s="121" t="s">
        <v>70</v>
      </c>
      <c r="C522" s="121"/>
      <c r="D522" s="121" t="s">
        <v>120</v>
      </c>
      <c r="E522" s="122" t="s">
        <v>2860</v>
      </c>
      <c r="F522" s="122" t="s">
        <v>235</v>
      </c>
      <c r="G522" s="121" t="s">
        <v>52</v>
      </c>
      <c r="H522" s="123"/>
      <c r="I522" s="145" t="s">
        <v>2861</v>
      </c>
      <c r="J522" s="122" t="s">
        <v>123</v>
      </c>
      <c r="K522" s="122" t="s">
        <v>55</v>
      </c>
      <c r="L522" s="166" t="s">
        <v>2862</v>
      </c>
      <c r="M522" s="138" t="s">
        <v>777</v>
      </c>
      <c r="N522" s="138"/>
      <c r="O522" s="139" t="s">
        <v>2863</v>
      </c>
      <c r="P522" s="122" t="s">
        <v>58</v>
      </c>
      <c r="Q522" s="122" t="s">
        <v>2864</v>
      </c>
      <c r="R522" s="122" t="s">
        <v>118</v>
      </c>
      <c r="U522" s="121"/>
      <c r="V522" s="121"/>
      <c r="W522" s="121"/>
      <c r="Y522" s="121"/>
      <c r="Z522" s="121"/>
      <c r="AA522" s="14" t="s">
        <v>2865</v>
      </c>
      <c r="AB522" s="126"/>
      <c r="AD522">
        <f t="shared" si="8"/>
        <v>1</v>
      </c>
    </row>
    <row r="523" spans="1:30" ht="13" customHeight="1" x14ac:dyDescent="0.35">
      <c r="A523" s="120" t="s">
        <v>32</v>
      </c>
      <c r="B523" s="121" t="s">
        <v>70</v>
      </c>
      <c r="C523" s="121"/>
      <c r="D523" s="121" t="s">
        <v>120</v>
      </c>
      <c r="E523" s="122" t="s">
        <v>2866</v>
      </c>
      <c r="F523" s="122" t="s">
        <v>51</v>
      </c>
      <c r="G523" s="121" t="s">
        <v>130</v>
      </c>
      <c r="H523" s="123"/>
      <c r="I523" s="127" t="s">
        <v>2867</v>
      </c>
      <c r="J523" s="122" t="s">
        <v>123</v>
      </c>
      <c r="K523" s="122" t="s">
        <v>55</v>
      </c>
      <c r="L523" s="65"/>
      <c r="O523" s="124" t="s">
        <v>2868</v>
      </c>
      <c r="P523" s="125"/>
      <c r="Q523" s="122"/>
      <c r="R523" s="122"/>
      <c r="U523" s="121"/>
      <c r="V523" s="121"/>
      <c r="W523" s="121"/>
      <c r="Y523" s="121"/>
      <c r="Z523" s="121"/>
      <c r="AA523" s="14" t="s">
        <v>2869</v>
      </c>
      <c r="AB523" s="126"/>
      <c r="AD523" t="str">
        <f t="shared" si="8"/>
        <v/>
      </c>
    </row>
    <row r="524" spans="1:30" ht="13" customHeight="1" x14ac:dyDescent="0.35">
      <c r="A524" s="120" t="s">
        <v>32</v>
      </c>
      <c r="B524" s="121" t="s">
        <v>70</v>
      </c>
      <c r="C524" s="121"/>
      <c r="D524" s="121" t="s">
        <v>120</v>
      </c>
      <c r="E524" s="128" t="s">
        <v>2870</v>
      </c>
      <c r="F524" s="122" t="s">
        <v>103</v>
      </c>
      <c r="G524" s="128" t="s">
        <v>104</v>
      </c>
      <c r="H524" s="129"/>
      <c r="I524" s="130" t="s">
        <v>2871</v>
      </c>
      <c r="J524" s="128" t="s">
        <v>123</v>
      </c>
      <c r="K524" s="128"/>
      <c r="L524" s="65" t="s">
        <v>2872</v>
      </c>
      <c r="M524" s="65"/>
      <c r="N524" s="65"/>
      <c r="O524" s="186" t="s">
        <v>2868</v>
      </c>
      <c r="P524" s="128" t="s">
        <v>66</v>
      </c>
      <c r="Q524" s="128" t="s">
        <v>67</v>
      </c>
      <c r="R524" s="128" t="s">
        <v>118</v>
      </c>
      <c r="U524" s="121"/>
      <c r="V524" s="121"/>
      <c r="W524" s="121"/>
      <c r="Y524" s="121"/>
      <c r="Z524" s="121"/>
      <c r="AA524" s="14" t="s">
        <v>2873</v>
      </c>
      <c r="AB524" s="126" t="s">
        <v>318</v>
      </c>
      <c r="AD524" t="str">
        <f t="shared" si="8"/>
        <v/>
      </c>
    </row>
    <row r="525" spans="1:30" ht="13" customHeight="1" x14ac:dyDescent="0.35">
      <c r="A525" s="120" t="s">
        <v>32</v>
      </c>
      <c r="B525" s="121" t="s">
        <v>70</v>
      </c>
      <c r="C525" s="121"/>
      <c r="D525" s="121" t="s">
        <v>101</v>
      </c>
      <c r="E525" s="121" t="s">
        <v>2874</v>
      </c>
      <c r="F525" s="122" t="s">
        <v>51</v>
      </c>
      <c r="G525" s="121" t="s">
        <v>52</v>
      </c>
      <c r="H525" s="123"/>
      <c r="I525" s="127" t="s">
        <v>2875</v>
      </c>
      <c r="J525" s="121" t="s">
        <v>106</v>
      </c>
      <c r="K525" s="121" t="s">
        <v>55</v>
      </c>
      <c r="L525" s="65" t="s">
        <v>2876</v>
      </c>
      <c r="O525" s="124" t="s">
        <v>2877</v>
      </c>
      <c r="P525" s="121" t="s">
        <v>66</v>
      </c>
      <c r="Q525" s="121" t="s">
        <v>109</v>
      </c>
      <c r="R525" s="121" t="s">
        <v>110</v>
      </c>
      <c r="U525" s="121"/>
      <c r="V525" s="121"/>
      <c r="W525" s="121"/>
      <c r="Y525" s="121"/>
      <c r="Z525" s="121"/>
      <c r="AA525" s="14" t="s">
        <v>2878</v>
      </c>
      <c r="AB525" s="126"/>
      <c r="AD525" t="str">
        <f t="shared" si="8"/>
        <v/>
      </c>
    </row>
    <row r="526" spans="1:30" ht="13" customHeight="1" x14ac:dyDescent="0.35">
      <c r="A526" s="120" t="s">
        <v>32</v>
      </c>
      <c r="B526" s="121" t="s">
        <v>70</v>
      </c>
      <c r="C526" s="121"/>
      <c r="D526" s="121" t="s">
        <v>120</v>
      </c>
      <c r="E526" s="169" t="s">
        <v>2879</v>
      </c>
      <c r="F526" s="122" t="s">
        <v>35</v>
      </c>
      <c r="G526" s="121" t="s">
        <v>130</v>
      </c>
      <c r="H526" s="123"/>
      <c r="I526" s="127" t="s">
        <v>2880</v>
      </c>
      <c r="J526" s="122" t="s">
        <v>123</v>
      </c>
      <c r="K526" s="122" t="s">
        <v>132</v>
      </c>
      <c r="O526" s="124"/>
      <c r="P526" s="125"/>
      <c r="Q526" s="122"/>
      <c r="R526" s="122"/>
      <c r="U526" s="121"/>
      <c r="V526" s="121"/>
      <c r="W526" s="121"/>
      <c r="Y526" s="121"/>
      <c r="Z526" s="121"/>
      <c r="AA526" s="14" t="s">
        <v>2881</v>
      </c>
      <c r="AB526" s="126"/>
      <c r="AD526" t="str">
        <f t="shared" si="8"/>
        <v/>
      </c>
    </row>
    <row r="527" spans="1:30" ht="13" customHeight="1" x14ac:dyDescent="0.35">
      <c r="A527" s="120" t="s">
        <v>32</v>
      </c>
      <c r="B527" s="121" t="s">
        <v>70</v>
      </c>
      <c r="C527" s="121"/>
      <c r="D527" s="121" t="s">
        <v>101</v>
      </c>
      <c r="E527" s="128" t="s">
        <v>2882</v>
      </c>
      <c r="F527" s="122" t="s">
        <v>103</v>
      </c>
      <c r="G527" s="128" t="s">
        <v>2758</v>
      </c>
      <c r="H527" s="129"/>
      <c r="I527" s="130" t="s">
        <v>2883</v>
      </c>
      <c r="J527" s="128" t="s">
        <v>106</v>
      </c>
      <c r="K527" s="128"/>
      <c r="L527" s="65" t="s">
        <v>2884</v>
      </c>
      <c r="M527" s="65"/>
      <c r="N527" s="65"/>
      <c r="O527" s="131" t="s">
        <v>2885</v>
      </c>
      <c r="P527" s="128" t="s">
        <v>142</v>
      </c>
      <c r="Q527" s="128" t="s">
        <v>2886</v>
      </c>
      <c r="R527" s="128" t="s">
        <v>110</v>
      </c>
      <c r="U527" s="121"/>
      <c r="V527" s="121"/>
      <c r="W527" s="121"/>
      <c r="Y527" s="121"/>
      <c r="Z527" s="121"/>
      <c r="AA527" s="14" t="s">
        <v>2887</v>
      </c>
      <c r="AB527" s="126" t="s">
        <v>318</v>
      </c>
      <c r="AD527" t="str">
        <f t="shared" si="8"/>
        <v/>
      </c>
    </row>
    <row r="528" spans="1:30" ht="13" customHeight="1" x14ac:dyDescent="0.35">
      <c r="A528" s="120" t="s">
        <v>32</v>
      </c>
      <c r="B528" s="121" t="s">
        <v>70</v>
      </c>
      <c r="C528" s="121"/>
      <c r="D528" s="121" t="s">
        <v>120</v>
      </c>
      <c r="E528" s="169" t="s">
        <v>2888</v>
      </c>
      <c r="F528" s="122" t="s">
        <v>35</v>
      </c>
      <c r="G528" s="121" t="s">
        <v>130</v>
      </c>
      <c r="H528" s="123"/>
      <c r="I528" s="127" t="s">
        <v>2889</v>
      </c>
      <c r="J528" s="122" t="s">
        <v>123</v>
      </c>
      <c r="K528" s="122" t="s">
        <v>132</v>
      </c>
      <c r="O528" s="124"/>
      <c r="P528" s="125"/>
      <c r="Q528" s="122"/>
      <c r="R528" s="122"/>
      <c r="U528" s="121"/>
      <c r="V528" s="121"/>
      <c r="W528" s="121"/>
      <c r="Y528" s="121"/>
      <c r="Z528" s="121"/>
      <c r="AA528" s="14" t="s">
        <v>2890</v>
      </c>
      <c r="AB528" s="126"/>
      <c r="AD528" t="str">
        <f t="shared" si="8"/>
        <v/>
      </c>
    </row>
    <row r="529" spans="1:30" ht="13" customHeight="1" x14ac:dyDescent="0.35">
      <c r="A529" s="120" t="s">
        <v>32</v>
      </c>
      <c r="B529" s="121" t="s">
        <v>70</v>
      </c>
      <c r="C529" s="121"/>
      <c r="D529" s="121" t="s">
        <v>120</v>
      </c>
      <c r="E529" s="169" t="s">
        <v>2891</v>
      </c>
      <c r="F529" s="122" t="s">
        <v>35</v>
      </c>
      <c r="G529" s="121" t="s">
        <v>2892</v>
      </c>
      <c r="H529" s="123"/>
      <c r="I529" s="127" t="s">
        <v>2893</v>
      </c>
      <c r="J529" s="122" t="s">
        <v>123</v>
      </c>
      <c r="K529" s="122" t="s">
        <v>132</v>
      </c>
      <c r="O529" s="124"/>
      <c r="P529" s="125"/>
      <c r="Q529" s="122"/>
      <c r="R529" s="122"/>
      <c r="U529" s="121"/>
      <c r="V529" s="121"/>
      <c r="W529" s="121"/>
      <c r="Y529" s="121"/>
      <c r="Z529" s="121"/>
      <c r="AA529" s="14" t="s">
        <v>2894</v>
      </c>
      <c r="AB529" s="126"/>
      <c r="AD529" t="str">
        <f t="shared" si="8"/>
        <v/>
      </c>
    </row>
    <row r="530" spans="1:30" ht="13" customHeight="1" x14ac:dyDescent="0.35">
      <c r="A530" s="120" t="s">
        <v>32</v>
      </c>
      <c r="B530" s="121" t="s">
        <v>48</v>
      </c>
      <c r="C530" s="121"/>
      <c r="D530" s="121" t="s">
        <v>49</v>
      </c>
      <c r="E530" s="171" t="s">
        <v>2895</v>
      </c>
      <c r="F530" s="122" t="s">
        <v>51</v>
      </c>
      <c r="G530" s="171" t="s">
        <v>104</v>
      </c>
      <c r="H530" s="172"/>
      <c r="I530" s="173" t="s">
        <v>2896</v>
      </c>
      <c r="J530" s="170" t="s">
        <v>54</v>
      </c>
      <c r="K530" s="170"/>
      <c r="L530" s="174" t="s">
        <v>2897</v>
      </c>
      <c r="M530" s="174"/>
      <c r="N530" s="174"/>
      <c r="O530" s="175" t="s">
        <v>2898</v>
      </c>
      <c r="P530" s="170" t="s">
        <v>66</v>
      </c>
      <c r="Q530" s="176" t="s">
        <v>2899</v>
      </c>
      <c r="R530" s="170" t="s">
        <v>118</v>
      </c>
      <c r="U530" s="121"/>
      <c r="V530" s="121"/>
      <c r="W530" s="121"/>
      <c r="Y530" s="121"/>
      <c r="Z530" s="121"/>
      <c r="AA530" s="14" t="s">
        <v>2900</v>
      </c>
      <c r="AB530" s="126"/>
      <c r="AD530" t="str">
        <f t="shared" si="8"/>
        <v/>
      </c>
    </row>
    <row r="531" spans="1:30" ht="13" customHeight="1" x14ac:dyDescent="0.35">
      <c r="A531" s="120" t="s">
        <v>32</v>
      </c>
      <c r="B531" s="121" t="s">
        <v>70</v>
      </c>
      <c r="C531" s="121"/>
      <c r="D531" s="121" t="s">
        <v>101</v>
      </c>
      <c r="E531" s="121" t="s">
        <v>2901</v>
      </c>
      <c r="F531" s="122" t="s">
        <v>235</v>
      </c>
      <c r="G531" s="121" t="s">
        <v>174</v>
      </c>
      <c r="H531" s="123"/>
      <c r="I531" s="127" t="s">
        <v>2902</v>
      </c>
      <c r="J531" s="121" t="s">
        <v>106</v>
      </c>
      <c r="K531" s="121" t="s">
        <v>55</v>
      </c>
      <c r="L531" s="166" t="s">
        <v>2903</v>
      </c>
      <c r="M531" s="60" t="s">
        <v>777</v>
      </c>
      <c r="O531" s="124" t="s">
        <v>2904</v>
      </c>
      <c r="P531" s="121" t="s">
        <v>66</v>
      </c>
      <c r="Q531" s="121" t="s">
        <v>2905</v>
      </c>
      <c r="R531" s="121" t="s">
        <v>110</v>
      </c>
      <c r="U531" s="121"/>
      <c r="V531" s="121"/>
      <c r="W531" s="121"/>
      <c r="Y531" s="121"/>
      <c r="Z531" s="121"/>
      <c r="AA531" s="14" t="s">
        <v>2906</v>
      </c>
      <c r="AB531" s="126"/>
      <c r="AD531">
        <f t="shared" si="8"/>
        <v>1</v>
      </c>
    </row>
    <row r="532" spans="1:30" ht="13" customHeight="1" x14ac:dyDescent="0.35">
      <c r="A532" s="120" t="s">
        <v>32</v>
      </c>
      <c r="B532" s="121" t="s">
        <v>48</v>
      </c>
      <c r="C532" s="121"/>
      <c r="D532" s="121" t="s">
        <v>172</v>
      </c>
      <c r="E532" s="121" t="s">
        <v>2907</v>
      </c>
      <c r="F532" s="122" t="s">
        <v>51</v>
      </c>
      <c r="G532" s="121" t="s">
        <v>52</v>
      </c>
      <c r="H532" s="123"/>
      <c r="I532" s="127" t="s">
        <v>2908</v>
      </c>
      <c r="J532" s="121" t="s">
        <v>176</v>
      </c>
      <c r="K532" s="121" t="s">
        <v>55</v>
      </c>
      <c r="L532" s="65" t="s">
        <v>2669</v>
      </c>
      <c r="O532" s="124" t="s">
        <v>2909</v>
      </c>
      <c r="P532" s="121" t="s">
        <v>66</v>
      </c>
      <c r="Q532" s="121" t="s">
        <v>67</v>
      </c>
      <c r="R532" s="121" t="s">
        <v>118</v>
      </c>
      <c r="U532" s="121"/>
      <c r="V532" s="121"/>
      <c r="W532" s="121"/>
      <c r="Y532" s="121"/>
      <c r="Z532" s="121"/>
      <c r="AA532" s="14" t="s">
        <v>2910</v>
      </c>
      <c r="AB532" s="126"/>
      <c r="AD532" t="str">
        <f t="shared" si="8"/>
        <v/>
      </c>
    </row>
    <row r="533" spans="1:30" ht="13" customHeight="1" x14ac:dyDescent="0.35">
      <c r="A533" s="120" t="s">
        <v>32</v>
      </c>
      <c r="B533" s="121" t="s">
        <v>70</v>
      </c>
      <c r="C533" s="121"/>
      <c r="D533" s="121" t="s">
        <v>101</v>
      </c>
      <c r="E533" s="121" t="s">
        <v>2911</v>
      </c>
      <c r="F533" s="122" t="s">
        <v>35</v>
      </c>
      <c r="G533" s="121" t="s">
        <v>174</v>
      </c>
      <c r="H533" s="123"/>
      <c r="I533" s="127" t="s">
        <v>2912</v>
      </c>
      <c r="J533" s="121" t="s">
        <v>106</v>
      </c>
      <c r="K533" s="121" t="s">
        <v>132</v>
      </c>
      <c r="O533" s="124"/>
      <c r="P533" s="121"/>
      <c r="Q533" s="121"/>
      <c r="R533" s="121"/>
      <c r="U533" s="121"/>
      <c r="V533" s="121"/>
      <c r="W533" s="121"/>
      <c r="Y533" s="121"/>
      <c r="Z533" s="121"/>
      <c r="AA533" s="14" t="s">
        <v>2913</v>
      </c>
      <c r="AB533" s="126"/>
      <c r="AD533" t="str">
        <f t="shared" si="8"/>
        <v/>
      </c>
    </row>
    <row r="534" spans="1:30" ht="13" customHeight="1" x14ac:dyDescent="0.35">
      <c r="A534" s="120" t="s">
        <v>32</v>
      </c>
      <c r="B534" s="121" t="s">
        <v>70</v>
      </c>
      <c r="C534" s="121"/>
      <c r="D534" s="121" t="s">
        <v>101</v>
      </c>
      <c r="E534" s="121" t="s">
        <v>2914</v>
      </c>
      <c r="F534" s="122" t="s">
        <v>35</v>
      </c>
      <c r="G534" s="121" t="s">
        <v>52</v>
      </c>
      <c r="H534" s="123"/>
      <c r="I534" s="127" t="s">
        <v>441</v>
      </c>
      <c r="J534" s="121" t="s">
        <v>106</v>
      </c>
      <c r="K534" s="121" t="s">
        <v>55</v>
      </c>
      <c r="O534" s="124"/>
      <c r="P534" s="121"/>
      <c r="Q534" s="121"/>
      <c r="R534" s="121"/>
      <c r="U534" s="121"/>
      <c r="V534" s="121"/>
      <c r="W534" s="121"/>
      <c r="Y534" s="121"/>
      <c r="Z534" s="121"/>
      <c r="AA534" s="187" t="s">
        <v>2915</v>
      </c>
      <c r="AB534" s="126"/>
      <c r="AD534" t="str">
        <f t="shared" si="8"/>
        <v/>
      </c>
    </row>
    <row r="535" spans="1:30" ht="13" customHeight="1" x14ac:dyDescent="0.35">
      <c r="A535" s="120" t="s">
        <v>32</v>
      </c>
      <c r="B535" s="121" t="s">
        <v>48</v>
      </c>
      <c r="C535" s="121"/>
      <c r="D535" s="121" t="s">
        <v>49</v>
      </c>
      <c r="E535" s="122" t="s">
        <v>2916</v>
      </c>
      <c r="F535" s="122" t="s">
        <v>35</v>
      </c>
      <c r="G535" s="121" t="s">
        <v>174</v>
      </c>
      <c r="H535" s="123"/>
      <c r="I535" s="127" t="s">
        <v>2917</v>
      </c>
      <c r="J535" s="122" t="s">
        <v>123</v>
      </c>
      <c r="K535" s="122" t="s">
        <v>132</v>
      </c>
      <c r="O535" s="124"/>
      <c r="P535" s="125"/>
      <c r="Q535" s="122"/>
      <c r="R535" s="122"/>
      <c r="U535" s="121"/>
      <c r="V535" s="121"/>
      <c r="W535" s="121"/>
      <c r="Y535" s="121"/>
      <c r="Z535" s="121"/>
      <c r="AA535" s="187" t="s">
        <v>2918</v>
      </c>
      <c r="AB535" s="126"/>
      <c r="AD535" t="str">
        <f t="shared" si="8"/>
        <v/>
      </c>
    </row>
    <row r="536" spans="1:30" ht="13" customHeight="1" x14ac:dyDescent="0.35">
      <c r="A536" s="120" t="s">
        <v>32</v>
      </c>
      <c r="B536" s="121" t="s">
        <v>48</v>
      </c>
      <c r="C536" s="121"/>
      <c r="D536" s="121" t="s">
        <v>49</v>
      </c>
      <c r="E536" s="170" t="s">
        <v>2919</v>
      </c>
      <c r="F536" s="122" t="s">
        <v>103</v>
      </c>
      <c r="G536" s="171" t="s">
        <v>2920</v>
      </c>
      <c r="H536" s="172"/>
      <c r="I536" s="173" t="s">
        <v>2921</v>
      </c>
      <c r="J536" s="170" t="s">
        <v>54</v>
      </c>
      <c r="K536" s="170"/>
      <c r="L536" s="174" t="s">
        <v>2922</v>
      </c>
      <c r="M536" s="174" t="s">
        <v>2923</v>
      </c>
      <c r="N536" s="174" t="s">
        <v>2924</v>
      </c>
      <c r="O536" s="188" t="s">
        <v>2925</v>
      </c>
      <c r="P536" s="170" t="s">
        <v>66</v>
      </c>
      <c r="Q536" s="170" t="s">
        <v>67</v>
      </c>
      <c r="R536" s="170" t="s">
        <v>118</v>
      </c>
      <c r="U536" s="121"/>
      <c r="V536" s="121"/>
      <c r="W536" s="121"/>
      <c r="Y536" s="121"/>
      <c r="Z536" s="121"/>
      <c r="AA536" s="187" t="s">
        <v>2926</v>
      </c>
      <c r="AB536" s="126"/>
      <c r="AD536">
        <f t="shared" si="8"/>
        <v>1</v>
      </c>
    </row>
    <row r="537" spans="1:30" ht="13" customHeight="1" x14ac:dyDescent="0.35">
      <c r="A537" s="120" t="s">
        <v>32</v>
      </c>
      <c r="B537" s="121" t="s">
        <v>48</v>
      </c>
      <c r="C537" s="121"/>
      <c r="D537" s="121" t="s">
        <v>49</v>
      </c>
      <c r="E537" s="121" t="s">
        <v>2927</v>
      </c>
      <c r="F537" s="122" t="s">
        <v>548</v>
      </c>
      <c r="G537" s="121" t="s">
        <v>174</v>
      </c>
      <c r="H537" s="123"/>
      <c r="I537" s="127" t="s">
        <v>2928</v>
      </c>
      <c r="J537" s="125" t="s">
        <v>54</v>
      </c>
      <c r="K537" s="121" t="s">
        <v>132</v>
      </c>
      <c r="L537" s="138" t="s">
        <v>2929</v>
      </c>
      <c r="M537" s="138" t="s">
        <v>2923</v>
      </c>
      <c r="N537" s="138" t="s">
        <v>2930</v>
      </c>
      <c r="O537" s="139" t="s">
        <v>2925</v>
      </c>
      <c r="P537" s="122" t="s">
        <v>2545</v>
      </c>
      <c r="Q537" s="122" t="s">
        <v>67</v>
      </c>
      <c r="R537" s="122"/>
      <c r="U537" s="121"/>
      <c r="V537" s="121"/>
      <c r="W537" s="121"/>
      <c r="Y537" s="121"/>
      <c r="Z537" s="121" t="s">
        <v>2931</v>
      </c>
      <c r="AA537" s="187" t="s">
        <v>2932</v>
      </c>
      <c r="AB537" s="126" t="s">
        <v>2933</v>
      </c>
      <c r="AD537">
        <f t="shared" si="8"/>
        <v>1</v>
      </c>
    </row>
    <row r="538" spans="1:30" ht="13" customHeight="1" x14ac:dyDescent="0.35">
      <c r="A538" s="120" t="s">
        <v>32</v>
      </c>
      <c r="B538" s="121" t="s">
        <v>48</v>
      </c>
      <c r="C538" s="121"/>
      <c r="D538" s="121" t="s">
        <v>172</v>
      </c>
      <c r="E538" s="185" t="s">
        <v>2934</v>
      </c>
      <c r="F538" s="122" t="s">
        <v>103</v>
      </c>
      <c r="G538" s="185" t="s">
        <v>2935</v>
      </c>
      <c r="H538" s="131"/>
      <c r="I538" s="130" t="s">
        <v>2936</v>
      </c>
      <c r="J538" s="128" t="s">
        <v>176</v>
      </c>
      <c r="K538" s="128"/>
      <c r="L538" s="65" t="s">
        <v>2937</v>
      </c>
      <c r="M538" s="65"/>
      <c r="N538" s="65"/>
      <c r="O538" s="131" t="s">
        <v>2938</v>
      </c>
      <c r="P538" s="128"/>
      <c r="Q538" s="185" t="s">
        <v>2939</v>
      </c>
      <c r="R538" s="121" t="s">
        <v>2940</v>
      </c>
      <c r="U538" s="121"/>
      <c r="V538" s="121"/>
      <c r="W538" s="121"/>
      <c r="Y538" s="121"/>
      <c r="Z538" s="121"/>
      <c r="AA538" s="187" t="s">
        <v>2941</v>
      </c>
      <c r="AB538" s="126" t="s">
        <v>112</v>
      </c>
      <c r="AD538" t="str">
        <f t="shared" si="8"/>
        <v/>
      </c>
    </row>
    <row r="539" spans="1:30" ht="13" customHeight="1" x14ac:dyDescent="0.35">
      <c r="A539" s="120" t="s">
        <v>32</v>
      </c>
      <c r="B539" s="121" t="s">
        <v>70</v>
      </c>
      <c r="C539" s="121"/>
      <c r="D539" s="121" t="s">
        <v>101</v>
      </c>
      <c r="E539" s="121" t="s">
        <v>2942</v>
      </c>
      <c r="F539" s="122" t="s">
        <v>51</v>
      </c>
      <c r="G539" s="121" t="s">
        <v>52</v>
      </c>
      <c r="H539" s="123"/>
      <c r="I539" s="127" t="s">
        <v>2943</v>
      </c>
      <c r="J539" s="121" t="s">
        <v>106</v>
      </c>
      <c r="K539" s="121"/>
      <c r="L539" s="65" t="s">
        <v>2944</v>
      </c>
      <c r="O539" s="124" t="s">
        <v>2945</v>
      </c>
      <c r="P539" s="121" t="s">
        <v>58</v>
      </c>
      <c r="Q539" s="121" t="s">
        <v>2946</v>
      </c>
      <c r="R539" s="121" t="s">
        <v>780</v>
      </c>
      <c r="U539" s="121"/>
      <c r="V539" s="121"/>
      <c r="W539" s="121"/>
      <c r="Y539" s="121"/>
      <c r="Z539" s="121"/>
      <c r="AA539" s="187" t="s">
        <v>2947</v>
      </c>
      <c r="AB539" s="126"/>
      <c r="AD539" t="str">
        <f t="shared" si="8"/>
        <v/>
      </c>
    </row>
    <row r="540" spans="1:30" ht="13" customHeight="1" x14ac:dyDescent="0.35">
      <c r="A540" s="120" t="s">
        <v>69</v>
      </c>
      <c r="B540" s="121" t="s">
        <v>70</v>
      </c>
      <c r="C540" s="121"/>
      <c r="D540" s="121" t="s">
        <v>2948</v>
      </c>
      <c r="E540" s="132" t="s">
        <v>2949</v>
      </c>
      <c r="F540" s="122" t="s">
        <v>548</v>
      </c>
      <c r="G540" s="121"/>
      <c r="H540" s="123"/>
      <c r="I540" s="133" t="s">
        <v>2950</v>
      </c>
      <c r="J540" s="132" t="s">
        <v>2951</v>
      </c>
      <c r="K540" s="189"/>
      <c r="L540" s="135" t="s">
        <v>2952</v>
      </c>
      <c r="M540" t="s">
        <v>552</v>
      </c>
      <c r="N540" s="135" t="s">
        <v>2953</v>
      </c>
      <c r="O540" s="124" t="s">
        <v>2954</v>
      </c>
      <c r="P540" s="136" t="s">
        <v>66</v>
      </c>
      <c r="Q540" s="190" t="s">
        <v>2955</v>
      </c>
      <c r="R540" s="132" t="s">
        <v>78</v>
      </c>
      <c r="S540" s="191" t="s">
        <v>556</v>
      </c>
      <c r="T540" s="191" t="s">
        <v>2956</v>
      </c>
      <c r="U540" s="132" t="s">
        <v>2957</v>
      </c>
      <c r="V540" s="132" t="s">
        <v>2958</v>
      </c>
      <c r="W540" s="132"/>
      <c r="X540" s="137"/>
      <c r="Y540" s="121"/>
      <c r="Z540" s="121" t="s">
        <v>228</v>
      </c>
      <c r="AA540" s="187" t="s">
        <v>2959</v>
      </c>
      <c r="AB540" s="187" t="s">
        <v>2960</v>
      </c>
      <c r="AD540">
        <f t="shared" si="8"/>
        <v>1</v>
      </c>
    </row>
    <row r="541" spans="1:30" ht="13" customHeight="1" x14ac:dyDescent="0.35">
      <c r="A541" s="120" t="s">
        <v>69</v>
      </c>
      <c r="B541" s="121" t="s">
        <v>48</v>
      </c>
      <c r="C541" s="121"/>
      <c r="D541" s="121" t="s">
        <v>2961</v>
      </c>
      <c r="E541" s="132" t="s">
        <v>2949</v>
      </c>
      <c r="F541" s="122" t="s">
        <v>548</v>
      </c>
      <c r="G541" s="121"/>
      <c r="H541" s="123"/>
      <c r="I541" s="192" t="s">
        <v>2962</v>
      </c>
      <c r="J541" s="121" t="s">
        <v>2963</v>
      </c>
      <c r="K541" s="121"/>
      <c r="L541" s="61" t="s">
        <v>2964</v>
      </c>
      <c r="M541" s="135" t="s">
        <v>552</v>
      </c>
      <c r="N541" s="61" t="s">
        <v>2965</v>
      </c>
      <c r="O541" s="158" t="s">
        <v>2966</v>
      </c>
      <c r="P541" s="121"/>
      <c r="Q541" s="132"/>
      <c r="R541" s="132" t="s">
        <v>88</v>
      </c>
      <c r="S541" s="191" t="s">
        <v>568</v>
      </c>
      <c r="T541" s="191" t="s">
        <v>2967</v>
      </c>
      <c r="U541" s="132" t="s">
        <v>2968</v>
      </c>
      <c r="V541" s="132" t="s">
        <v>2969</v>
      </c>
      <c r="W541" s="132" t="s">
        <v>572</v>
      </c>
      <c r="X541" s="193" t="s">
        <v>2970</v>
      </c>
      <c r="Y541" s="121"/>
      <c r="Z541" s="121"/>
      <c r="AA541" s="187" t="s">
        <v>2971</v>
      </c>
      <c r="AB541" s="126" t="s">
        <v>2972</v>
      </c>
      <c r="AD541">
        <f t="shared" si="8"/>
        <v>1</v>
      </c>
    </row>
    <row r="542" spans="1:30" ht="13" customHeight="1" x14ac:dyDescent="0.35">
      <c r="A542" s="120" t="s">
        <v>32</v>
      </c>
      <c r="B542" s="121" t="s">
        <v>48</v>
      </c>
      <c r="C542" s="121"/>
      <c r="D542" s="121" t="s">
        <v>49</v>
      </c>
      <c r="E542" s="140" t="s">
        <v>2973</v>
      </c>
      <c r="F542" s="122" t="s">
        <v>35</v>
      </c>
      <c r="G542" s="121" t="s">
        <v>174</v>
      </c>
      <c r="H542" s="123"/>
      <c r="I542" s="141" t="s">
        <v>2974</v>
      </c>
      <c r="J542" s="125" t="s">
        <v>54</v>
      </c>
      <c r="K542" s="121" t="s">
        <v>132</v>
      </c>
      <c r="L542" s="143"/>
      <c r="M542" s="143"/>
      <c r="N542" s="143"/>
      <c r="O542" s="144"/>
      <c r="P542" s="140"/>
      <c r="Q542" s="169"/>
      <c r="R542" s="140"/>
      <c r="U542" s="121"/>
      <c r="V542" s="121"/>
      <c r="W542" s="121"/>
      <c r="Y542" s="121"/>
      <c r="Z542" s="121"/>
      <c r="AA542" s="187" t="s">
        <v>2975</v>
      </c>
      <c r="AB542" s="126"/>
      <c r="AD542" t="str">
        <f t="shared" si="8"/>
        <v/>
      </c>
    </row>
    <row r="543" spans="1:30" ht="13" customHeight="1" x14ac:dyDescent="0.35">
      <c r="A543" s="120" t="s">
        <v>32</v>
      </c>
      <c r="B543" s="121" t="s">
        <v>70</v>
      </c>
      <c r="C543" s="121"/>
      <c r="D543" s="121" t="s">
        <v>120</v>
      </c>
      <c r="E543" s="122" t="s">
        <v>2976</v>
      </c>
      <c r="F543" s="122" t="s">
        <v>35</v>
      </c>
      <c r="G543" s="121" t="s">
        <v>52</v>
      </c>
      <c r="H543" s="123"/>
      <c r="I543" s="145" t="s">
        <v>2977</v>
      </c>
      <c r="J543" s="122" t="s">
        <v>123</v>
      </c>
      <c r="K543" s="122" t="s">
        <v>132</v>
      </c>
      <c r="L543" s="138"/>
      <c r="M543" s="138"/>
      <c r="N543" s="138"/>
      <c r="O543" s="139"/>
      <c r="P543" s="122"/>
      <c r="Q543" s="122"/>
      <c r="R543" s="122"/>
      <c r="U543" s="121"/>
      <c r="V543" s="121"/>
      <c r="W543" s="121"/>
      <c r="Y543" s="121"/>
      <c r="Z543" s="121"/>
      <c r="AA543" s="187" t="s">
        <v>2978</v>
      </c>
      <c r="AB543" s="126"/>
      <c r="AD543" t="str">
        <f t="shared" si="8"/>
        <v/>
      </c>
    </row>
    <row r="544" spans="1:30" ht="13" customHeight="1" x14ac:dyDescent="0.35">
      <c r="A544" s="120" t="s">
        <v>32</v>
      </c>
      <c r="B544" s="121" t="s">
        <v>48</v>
      </c>
      <c r="C544" s="121"/>
      <c r="D544" s="121" t="s">
        <v>172</v>
      </c>
      <c r="E544" s="121" t="s">
        <v>2976</v>
      </c>
      <c r="F544" s="122" t="s">
        <v>35</v>
      </c>
      <c r="G544" s="121" t="s">
        <v>52</v>
      </c>
      <c r="H544" s="123"/>
      <c r="I544" s="127" t="s">
        <v>2979</v>
      </c>
      <c r="J544" s="121" t="s">
        <v>176</v>
      </c>
      <c r="K544" s="121" t="s">
        <v>132</v>
      </c>
      <c r="O544" s="124"/>
      <c r="P544" s="121"/>
      <c r="Q544" s="121"/>
      <c r="R544" s="121"/>
      <c r="U544" s="121"/>
      <c r="V544" s="121"/>
      <c r="W544" s="121"/>
      <c r="Y544" s="121"/>
      <c r="Z544" s="121"/>
      <c r="AA544" s="187" t="s">
        <v>2980</v>
      </c>
      <c r="AB544" s="126"/>
      <c r="AD544" t="str">
        <f t="shared" si="8"/>
        <v/>
      </c>
    </row>
    <row r="545" spans="1:30" ht="13" customHeight="1" x14ac:dyDescent="0.35">
      <c r="A545" s="120" t="s">
        <v>32</v>
      </c>
      <c r="B545" s="121" t="s">
        <v>48</v>
      </c>
      <c r="C545" s="121"/>
      <c r="D545" s="121" t="s">
        <v>172</v>
      </c>
      <c r="E545" s="128" t="s">
        <v>2981</v>
      </c>
      <c r="F545" s="122" t="s">
        <v>51</v>
      </c>
      <c r="G545" s="128" t="s">
        <v>2982</v>
      </c>
      <c r="H545" s="129"/>
      <c r="I545" s="130" t="s">
        <v>2983</v>
      </c>
      <c r="J545" s="128" t="s">
        <v>176</v>
      </c>
      <c r="K545" s="128"/>
      <c r="L545" s="64" t="s">
        <v>2984</v>
      </c>
      <c r="M545" s="65"/>
      <c r="N545" s="65"/>
      <c r="O545" s="131" t="s">
        <v>2985</v>
      </c>
      <c r="P545" s="128" t="s">
        <v>58</v>
      </c>
      <c r="Q545" s="128" t="s">
        <v>2986</v>
      </c>
      <c r="R545" s="128" t="s">
        <v>118</v>
      </c>
      <c r="U545" s="121"/>
      <c r="V545" s="121"/>
      <c r="W545" s="121"/>
      <c r="Y545" s="121"/>
      <c r="Z545" s="121"/>
      <c r="AA545" s="187" t="s">
        <v>2987</v>
      </c>
      <c r="AB545" s="126"/>
      <c r="AD545" t="str">
        <f t="shared" si="8"/>
        <v/>
      </c>
    </row>
    <row r="546" spans="1:30" ht="13" customHeight="1" x14ac:dyDescent="0.35">
      <c r="A546" s="120" t="s">
        <v>32</v>
      </c>
      <c r="B546" s="121" t="s">
        <v>48</v>
      </c>
      <c r="C546" s="121"/>
      <c r="D546" s="121" t="s">
        <v>172</v>
      </c>
      <c r="E546" s="121" t="s">
        <v>2988</v>
      </c>
      <c r="F546" s="122" t="s">
        <v>235</v>
      </c>
      <c r="G546" s="121" t="s">
        <v>52</v>
      </c>
      <c r="H546" s="123"/>
      <c r="I546" s="127" t="s">
        <v>2989</v>
      </c>
      <c r="J546" s="121" t="s">
        <v>176</v>
      </c>
      <c r="K546" s="121" t="s">
        <v>55</v>
      </c>
      <c r="L546" s="166" t="s">
        <v>2990</v>
      </c>
      <c r="M546" s="60" t="s">
        <v>777</v>
      </c>
      <c r="O546" s="124" t="s">
        <v>2991</v>
      </c>
      <c r="P546" s="121" t="s">
        <v>58</v>
      </c>
      <c r="Q546" s="121" t="s">
        <v>2992</v>
      </c>
      <c r="R546" s="121" t="s">
        <v>118</v>
      </c>
      <c r="U546" s="121"/>
      <c r="V546" s="121"/>
      <c r="W546" s="121"/>
      <c r="Y546" s="121"/>
      <c r="Z546" s="121"/>
      <c r="AA546" s="187" t="s">
        <v>2993</v>
      </c>
      <c r="AB546" s="126"/>
      <c r="AD546">
        <f t="shared" si="8"/>
        <v>1</v>
      </c>
    </row>
    <row r="547" spans="1:30" ht="13" customHeight="1" x14ac:dyDescent="0.35">
      <c r="A547" s="120" t="s">
        <v>32</v>
      </c>
      <c r="B547" s="121" t="s">
        <v>48</v>
      </c>
      <c r="C547" s="121"/>
      <c r="D547" s="121" t="s">
        <v>49</v>
      </c>
      <c r="E547" s="140" t="s">
        <v>2994</v>
      </c>
      <c r="F547" s="122" t="s">
        <v>51</v>
      </c>
      <c r="G547" s="121" t="s">
        <v>52</v>
      </c>
      <c r="H547" s="123"/>
      <c r="I547" s="141" t="s">
        <v>2995</v>
      </c>
      <c r="J547" s="125" t="s">
        <v>54</v>
      </c>
      <c r="K547" s="121" t="s">
        <v>55</v>
      </c>
      <c r="L547" s="142" t="s">
        <v>730</v>
      </c>
      <c r="M547" s="143"/>
      <c r="N547" s="143"/>
      <c r="O547" s="194" t="s">
        <v>2996</v>
      </c>
      <c r="P547" s="140" t="s">
        <v>58</v>
      </c>
      <c r="Q547" s="140" t="s">
        <v>2997</v>
      </c>
      <c r="R547" s="140" t="s">
        <v>118</v>
      </c>
      <c r="U547" s="121"/>
      <c r="V547" s="121"/>
      <c r="W547" s="121"/>
      <c r="Y547" s="121"/>
      <c r="Z547" s="121"/>
      <c r="AA547" s="187" t="s">
        <v>2998</v>
      </c>
      <c r="AB547" s="126"/>
      <c r="AD547" t="str">
        <f t="shared" si="8"/>
        <v/>
      </c>
    </row>
    <row r="548" spans="1:30" ht="13" customHeight="1" x14ac:dyDescent="0.35">
      <c r="A548" s="120" t="s">
        <v>32</v>
      </c>
      <c r="B548" s="121" t="s">
        <v>48</v>
      </c>
      <c r="C548" s="121"/>
      <c r="D548" s="121" t="s">
        <v>49</v>
      </c>
      <c r="E548" s="121" t="s">
        <v>2999</v>
      </c>
      <c r="F548" s="122" t="s">
        <v>35</v>
      </c>
      <c r="G548" s="121" t="s">
        <v>174</v>
      </c>
      <c r="H548" s="123"/>
      <c r="I548" s="127" t="s">
        <v>3000</v>
      </c>
      <c r="J548" s="125" t="s">
        <v>54</v>
      </c>
      <c r="K548" s="121" t="s">
        <v>55</v>
      </c>
      <c r="L548" s="138"/>
      <c r="M548" s="138"/>
      <c r="N548" s="138"/>
      <c r="O548" s="139"/>
      <c r="P548" s="122"/>
      <c r="Q548" s="122"/>
      <c r="R548" s="122"/>
      <c r="U548" s="121"/>
      <c r="V548" s="121"/>
      <c r="W548" s="121"/>
      <c r="Y548" s="121"/>
      <c r="Z548" s="121"/>
      <c r="AA548" s="187" t="s">
        <v>3001</v>
      </c>
      <c r="AB548" s="126"/>
      <c r="AD548" t="str">
        <f t="shared" si="8"/>
        <v/>
      </c>
    </row>
    <row r="549" spans="1:30" ht="13" customHeight="1" x14ac:dyDescent="0.35">
      <c r="A549" s="120" t="s">
        <v>69</v>
      </c>
      <c r="B549" s="121" t="s">
        <v>70</v>
      </c>
      <c r="C549" s="121"/>
      <c r="D549" s="121" t="s">
        <v>3002</v>
      </c>
      <c r="E549" s="132" t="s">
        <v>3003</v>
      </c>
      <c r="F549" s="122" t="s">
        <v>136</v>
      </c>
      <c r="G549" s="121"/>
      <c r="H549" s="123"/>
      <c r="I549" s="195" t="s">
        <v>3004</v>
      </c>
      <c r="J549" s="121"/>
      <c r="K549" s="121"/>
      <c r="L549" s="61" t="s">
        <v>3005</v>
      </c>
      <c r="M549" s="61" t="s">
        <v>3006</v>
      </c>
      <c r="N549" s="61" t="s">
        <v>3007</v>
      </c>
      <c r="O549" s="158" t="s">
        <v>3008</v>
      </c>
      <c r="P549" s="121"/>
      <c r="Q549" s="132" t="s">
        <v>3009</v>
      </c>
      <c r="R549" s="132" t="s">
        <v>78</v>
      </c>
      <c r="U549" s="132" t="s">
        <v>3010</v>
      </c>
      <c r="V549" s="132"/>
      <c r="W549" s="132"/>
      <c r="Y549" s="196"/>
      <c r="Z549" s="121"/>
      <c r="AA549" s="187" t="s">
        <v>3011</v>
      </c>
      <c r="AB549" s="187" t="s">
        <v>274</v>
      </c>
      <c r="AD549">
        <f t="shared" si="8"/>
        <v>2</v>
      </c>
    </row>
    <row r="550" spans="1:30" ht="13" customHeight="1" x14ac:dyDescent="0.35">
      <c r="A550" s="120" t="s">
        <v>69</v>
      </c>
      <c r="B550" s="121" t="s">
        <v>48</v>
      </c>
      <c r="C550" s="121"/>
      <c r="D550" s="121" t="s">
        <v>3012</v>
      </c>
      <c r="E550" s="132" t="s">
        <v>3013</v>
      </c>
      <c r="F550" s="122" t="s">
        <v>136</v>
      </c>
      <c r="G550" s="121"/>
      <c r="H550" s="123"/>
      <c r="I550" s="195" t="s">
        <v>3014</v>
      </c>
      <c r="J550" s="121"/>
      <c r="K550" s="121"/>
      <c r="L550" s="61" t="s">
        <v>3015</v>
      </c>
      <c r="M550" s="61" t="s">
        <v>3016</v>
      </c>
      <c r="N550" s="61" t="s">
        <v>3017</v>
      </c>
      <c r="O550" s="158" t="s">
        <v>3018</v>
      </c>
      <c r="P550" s="121"/>
      <c r="Q550" s="132" t="s">
        <v>3019</v>
      </c>
      <c r="R550" s="132" t="s">
        <v>78</v>
      </c>
      <c r="U550" s="132"/>
      <c r="V550" s="132"/>
      <c r="W550" s="132"/>
      <c r="Y550" s="196"/>
      <c r="Z550" s="121"/>
      <c r="AA550" s="187" t="s">
        <v>3020</v>
      </c>
      <c r="AB550" s="187" t="s">
        <v>274</v>
      </c>
      <c r="AD550">
        <f t="shared" si="8"/>
        <v>2</v>
      </c>
    </row>
    <row r="551" spans="1:30" ht="13" customHeight="1" x14ac:dyDescent="0.35">
      <c r="A551" s="120" t="s">
        <v>32</v>
      </c>
      <c r="B551" s="121" t="s">
        <v>48</v>
      </c>
      <c r="C551" s="121"/>
      <c r="D551" s="121" t="s">
        <v>172</v>
      </c>
      <c r="E551" s="128" t="s">
        <v>3021</v>
      </c>
      <c r="F551" s="122" t="s">
        <v>103</v>
      </c>
      <c r="G551" s="128" t="s">
        <v>3022</v>
      </c>
      <c r="H551" s="129"/>
      <c r="I551" s="130" t="s">
        <v>3023</v>
      </c>
      <c r="J551" s="128" t="s">
        <v>176</v>
      </c>
      <c r="K551" s="128"/>
      <c r="L551" s="183" t="s">
        <v>3024</v>
      </c>
      <c r="M551" s="65"/>
      <c r="N551" s="65"/>
      <c r="O551" s="131" t="s">
        <v>3025</v>
      </c>
      <c r="P551" s="128" t="s">
        <v>66</v>
      </c>
      <c r="Q551" s="128" t="s">
        <v>3026</v>
      </c>
      <c r="R551" s="128" t="s">
        <v>118</v>
      </c>
      <c r="U551" s="121"/>
      <c r="V551" s="121"/>
      <c r="W551" s="121"/>
      <c r="Y551" s="121"/>
      <c r="Z551" s="121"/>
      <c r="AA551" s="187" t="s">
        <v>3027</v>
      </c>
      <c r="AB551" s="126" t="s">
        <v>318</v>
      </c>
      <c r="AD551" t="str">
        <f t="shared" si="8"/>
        <v/>
      </c>
    </row>
    <row r="552" spans="1:30" ht="13" customHeight="1" x14ac:dyDescent="0.35">
      <c r="A552" s="120" t="s">
        <v>32</v>
      </c>
      <c r="B552" s="121" t="s">
        <v>438</v>
      </c>
      <c r="C552" s="121"/>
      <c r="D552" s="121"/>
      <c r="E552" s="121" t="s">
        <v>2155</v>
      </c>
      <c r="F552" s="122" t="s">
        <v>145</v>
      </c>
      <c r="G552" s="121" t="s">
        <v>336</v>
      </c>
      <c r="H552" s="123" t="s">
        <v>440</v>
      </c>
      <c r="I552" s="127" t="s">
        <v>3028</v>
      </c>
      <c r="J552" s="121" t="s">
        <v>1358</v>
      </c>
      <c r="K552" s="121" t="s">
        <v>1142</v>
      </c>
      <c r="M552" s="60" t="s">
        <v>1136</v>
      </c>
      <c r="N552" s="60" t="s">
        <v>3029</v>
      </c>
      <c r="O552" s="124" t="s">
        <v>3030</v>
      </c>
      <c r="P552" s="121"/>
      <c r="Q552" s="121"/>
      <c r="R552" s="121"/>
      <c r="U552" s="121"/>
      <c r="V552" s="121"/>
      <c r="W552" s="121"/>
      <c r="Y552" s="196">
        <v>45616</v>
      </c>
      <c r="Z552" s="121"/>
      <c r="AA552" s="14" t="s">
        <v>3031</v>
      </c>
      <c r="AB552" s="187" t="s">
        <v>3032</v>
      </c>
      <c r="AD552">
        <f t="shared" si="8"/>
        <v>1</v>
      </c>
    </row>
    <row r="553" spans="1:30" ht="13" customHeight="1" x14ac:dyDescent="0.35">
      <c r="A553" s="120" t="s">
        <v>69</v>
      </c>
      <c r="B553" s="121" t="s">
        <v>48</v>
      </c>
      <c r="C553" s="121"/>
      <c r="D553" s="121" t="s">
        <v>3033</v>
      </c>
      <c r="E553" s="136" t="s">
        <v>3034</v>
      </c>
      <c r="F553" s="122" t="s">
        <v>103</v>
      </c>
      <c r="G553" s="121"/>
      <c r="H553" s="123"/>
      <c r="I553" s="197" t="s">
        <v>3035</v>
      </c>
      <c r="J553" s="121"/>
      <c r="K553" s="121"/>
      <c r="L553" s="61" t="s">
        <v>3036</v>
      </c>
      <c r="M553" s="61" t="s">
        <v>3037</v>
      </c>
      <c r="N553" s="61" t="s">
        <v>3038</v>
      </c>
      <c r="O553" s="158" t="s">
        <v>3039</v>
      </c>
      <c r="P553" s="121"/>
      <c r="Q553" s="132"/>
      <c r="R553" s="136" t="s">
        <v>78</v>
      </c>
      <c r="S553" s="191" t="s">
        <v>2432</v>
      </c>
      <c r="T553" s="191" t="s">
        <v>3040</v>
      </c>
      <c r="U553" s="132" t="s">
        <v>3041</v>
      </c>
      <c r="V553" s="198"/>
      <c r="W553" s="136"/>
      <c r="X553" s="199" t="s">
        <v>3042</v>
      </c>
      <c r="Y553" s="121"/>
      <c r="Z553" s="121"/>
      <c r="AA553" s="187" t="s">
        <v>3043</v>
      </c>
      <c r="AB553" s="126"/>
      <c r="AD553">
        <f t="shared" si="8"/>
        <v>2</v>
      </c>
    </row>
    <row r="554" spans="1:30" ht="13" customHeight="1" x14ac:dyDescent="0.35">
      <c r="A554" s="120" t="s">
        <v>69</v>
      </c>
      <c r="B554" s="121" t="s">
        <v>70</v>
      </c>
      <c r="C554" s="121"/>
      <c r="D554" s="121" t="s">
        <v>3044</v>
      </c>
      <c r="E554" s="136" t="s">
        <v>3034</v>
      </c>
      <c r="F554" s="122" t="s">
        <v>103</v>
      </c>
      <c r="G554" s="121"/>
      <c r="H554" s="123"/>
      <c r="I554" s="159" t="s">
        <v>3045</v>
      </c>
      <c r="J554" s="200"/>
      <c r="K554" s="136"/>
      <c r="L554" s="201" t="s">
        <v>3042</v>
      </c>
      <c r="M554" s="201" t="s">
        <v>3046</v>
      </c>
      <c r="N554" s="201" t="s">
        <v>3038</v>
      </c>
      <c r="O554" s="124" t="s">
        <v>3047</v>
      </c>
      <c r="P554" s="136"/>
      <c r="Q554" s="136"/>
      <c r="R554" s="136" t="s">
        <v>78</v>
      </c>
      <c r="S554" s="163"/>
      <c r="T554" s="163"/>
      <c r="U554" s="202" t="s">
        <v>3048</v>
      </c>
      <c r="V554" s="136"/>
      <c r="W554" s="136"/>
      <c r="X554" s="203"/>
      <c r="Y554" s="121"/>
      <c r="Z554" s="121"/>
      <c r="AA554" s="187" t="s">
        <v>3049</v>
      </c>
      <c r="AB554" s="126"/>
      <c r="AD554">
        <f t="shared" si="8"/>
        <v>2</v>
      </c>
    </row>
    <row r="555" spans="1:30" ht="13" customHeight="1" x14ac:dyDescent="0.35">
      <c r="A555" s="120" t="s">
        <v>32</v>
      </c>
      <c r="B555" s="121" t="s">
        <v>70</v>
      </c>
      <c r="C555" s="121"/>
      <c r="D555" s="121" t="s">
        <v>101</v>
      </c>
      <c r="E555" s="121" t="s">
        <v>3050</v>
      </c>
      <c r="F555" s="122" t="s">
        <v>51</v>
      </c>
      <c r="G555" s="121" t="s">
        <v>52</v>
      </c>
      <c r="H555" s="123"/>
      <c r="I555" s="127" t="s">
        <v>3051</v>
      </c>
      <c r="J555" s="121" t="s">
        <v>106</v>
      </c>
      <c r="K555" s="121" t="s">
        <v>55</v>
      </c>
      <c r="L555" s="65" t="s">
        <v>3052</v>
      </c>
      <c r="O555" s="124" t="s">
        <v>3053</v>
      </c>
      <c r="P555" s="121" t="s">
        <v>2640</v>
      </c>
      <c r="Q555" s="121" t="s">
        <v>3054</v>
      </c>
      <c r="R555" s="121" t="s">
        <v>110</v>
      </c>
      <c r="U555" s="121"/>
      <c r="V555" s="121"/>
      <c r="W555" s="121"/>
      <c r="Y555" s="121"/>
      <c r="Z555" s="121"/>
      <c r="AA555" s="187" t="s">
        <v>3055</v>
      </c>
      <c r="AB555" s="126"/>
      <c r="AD555" t="str">
        <f t="shared" si="8"/>
        <v/>
      </c>
    </row>
    <row r="556" spans="1:30" ht="13" customHeight="1" x14ac:dyDescent="0.35">
      <c r="A556" s="120" t="s">
        <v>32</v>
      </c>
      <c r="B556" s="121" t="s">
        <v>48</v>
      </c>
      <c r="C556" s="121"/>
      <c r="D556" s="121" t="s">
        <v>49</v>
      </c>
      <c r="E556" s="125" t="s">
        <v>3056</v>
      </c>
      <c r="F556" s="122" t="s">
        <v>35</v>
      </c>
      <c r="G556" s="121" t="s">
        <v>174</v>
      </c>
      <c r="H556" s="123"/>
      <c r="I556" s="141" t="s">
        <v>3057</v>
      </c>
      <c r="J556" s="125" t="s">
        <v>54</v>
      </c>
      <c r="K556" s="121" t="s">
        <v>132</v>
      </c>
      <c r="L556" s="22"/>
      <c r="M556" s="22"/>
      <c r="N556" s="22"/>
      <c r="O556" s="124"/>
      <c r="P556" s="121"/>
      <c r="Q556" s="121"/>
      <c r="R556" s="121"/>
      <c r="U556" s="121"/>
      <c r="V556" s="121"/>
      <c r="W556" s="121"/>
      <c r="Y556" s="121"/>
      <c r="Z556" s="121"/>
      <c r="AA556" s="187" t="s">
        <v>3058</v>
      </c>
      <c r="AB556" s="126"/>
      <c r="AD556" t="str">
        <f t="shared" si="8"/>
        <v/>
      </c>
    </row>
    <row r="557" spans="1:30" ht="13" customHeight="1" x14ac:dyDescent="0.35">
      <c r="A557" s="120" t="s">
        <v>32</v>
      </c>
      <c r="B557" s="121" t="s">
        <v>70</v>
      </c>
      <c r="C557" s="121"/>
      <c r="D557" s="121" t="s">
        <v>101</v>
      </c>
      <c r="E557" s="128" t="s">
        <v>3059</v>
      </c>
      <c r="F557" s="122" t="s">
        <v>103</v>
      </c>
      <c r="G557" s="128" t="s">
        <v>3060</v>
      </c>
      <c r="H557" s="129"/>
      <c r="I557" s="130" t="s">
        <v>3061</v>
      </c>
      <c r="J557" s="128" t="s">
        <v>106</v>
      </c>
      <c r="K557" s="128"/>
      <c r="L557" s="65"/>
      <c r="M557" s="65"/>
      <c r="N557" s="65"/>
      <c r="O557" s="131" t="s">
        <v>3062</v>
      </c>
      <c r="P557" s="128" t="s">
        <v>66</v>
      </c>
      <c r="Q557" s="128" t="s">
        <v>3063</v>
      </c>
      <c r="R557" s="128" t="s">
        <v>110</v>
      </c>
      <c r="U557" s="121"/>
      <c r="V557" s="121"/>
      <c r="W557" s="121"/>
      <c r="Y557" s="121"/>
      <c r="Z557" s="121"/>
      <c r="AA557" s="187" t="s">
        <v>3064</v>
      </c>
      <c r="AB557" s="126" t="s">
        <v>112</v>
      </c>
      <c r="AD557" t="str">
        <f t="shared" si="8"/>
        <v/>
      </c>
    </row>
    <row r="558" spans="1:30" ht="13" customHeight="1" x14ac:dyDescent="0.35">
      <c r="A558" s="120" t="s">
        <v>32</v>
      </c>
      <c r="B558" s="121" t="s">
        <v>70</v>
      </c>
      <c r="C558" s="121"/>
      <c r="D558" s="121" t="s">
        <v>101</v>
      </c>
      <c r="E558" s="204" t="s">
        <v>3059</v>
      </c>
      <c r="F558" s="122" t="s">
        <v>103</v>
      </c>
      <c r="G558" s="128" t="s">
        <v>1903</v>
      </c>
      <c r="H558" s="129"/>
      <c r="I558" s="205" t="s">
        <v>3065</v>
      </c>
      <c r="J558" s="128" t="s">
        <v>106</v>
      </c>
      <c r="K558" s="128"/>
      <c r="L558" s="65" t="s">
        <v>3066</v>
      </c>
      <c r="M558" s="65"/>
      <c r="N558" s="65"/>
      <c r="O558" s="131" t="s">
        <v>3067</v>
      </c>
      <c r="P558" s="128"/>
      <c r="Q558" s="128"/>
      <c r="R558" s="128" t="s">
        <v>3068</v>
      </c>
      <c r="U558" s="121"/>
      <c r="V558" s="121"/>
      <c r="W558" s="121"/>
      <c r="Y558" s="121"/>
      <c r="Z558" s="121"/>
      <c r="AA558" s="187" t="s">
        <v>3069</v>
      </c>
      <c r="AB558" s="126" t="s">
        <v>112</v>
      </c>
      <c r="AD558" t="str">
        <f t="shared" si="8"/>
        <v/>
      </c>
    </row>
    <row r="559" spans="1:30" ht="13" customHeight="1" x14ac:dyDescent="0.35">
      <c r="A559" s="120" t="s">
        <v>32</v>
      </c>
      <c r="B559" s="121" t="s">
        <v>70</v>
      </c>
      <c r="C559" s="121"/>
      <c r="D559" s="121" t="s">
        <v>101</v>
      </c>
      <c r="E559" s="121" t="s">
        <v>3070</v>
      </c>
      <c r="F559" s="122" t="s">
        <v>35</v>
      </c>
      <c r="G559" s="121" t="s">
        <v>174</v>
      </c>
      <c r="H559" s="123"/>
      <c r="I559" s="127" t="s">
        <v>3071</v>
      </c>
      <c r="J559" s="121" t="s">
        <v>106</v>
      </c>
      <c r="K559" s="121" t="s">
        <v>132</v>
      </c>
      <c r="O559" s="124"/>
      <c r="P559" s="121"/>
      <c r="Q559" s="121"/>
      <c r="R559" s="121"/>
      <c r="U559" s="121"/>
      <c r="V559" s="121"/>
      <c r="W559" s="121"/>
      <c r="Y559" s="121"/>
      <c r="Z559" s="121"/>
      <c r="AA559" s="187" t="s">
        <v>3072</v>
      </c>
      <c r="AB559" s="126"/>
      <c r="AD559" t="str">
        <f t="shared" si="8"/>
        <v/>
      </c>
    </row>
    <row r="560" spans="1:30" ht="13" customHeight="1" x14ac:dyDescent="0.35">
      <c r="A560" s="120" t="s">
        <v>32</v>
      </c>
      <c r="B560" s="121" t="s">
        <v>48</v>
      </c>
      <c r="C560" s="121"/>
      <c r="D560" s="121" t="s">
        <v>172</v>
      </c>
      <c r="E560" s="128" t="s">
        <v>3073</v>
      </c>
      <c r="F560" s="122" t="s">
        <v>103</v>
      </c>
      <c r="G560" s="128" t="s">
        <v>1903</v>
      </c>
      <c r="H560" s="129"/>
      <c r="I560" s="130" t="s">
        <v>3074</v>
      </c>
      <c r="J560" s="128" t="s">
        <v>176</v>
      </c>
      <c r="K560" s="128"/>
      <c r="L560" s="64" t="s">
        <v>3075</v>
      </c>
      <c r="M560" s="65"/>
      <c r="N560" s="65"/>
      <c r="O560" s="131" t="s">
        <v>3076</v>
      </c>
      <c r="P560" s="128" t="s">
        <v>142</v>
      </c>
      <c r="Q560" s="128" t="s">
        <v>3077</v>
      </c>
      <c r="R560" s="128" t="s">
        <v>118</v>
      </c>
      <c r="U560" s="121"/>
      <c r="V560" s="121"/>
      <c r="W560" s="121"/>
      <c r="Y560" s="121"/>
      <c r="Z560" s="121"/>
      <c r="AA560" s="187" t="s">
        <v>3078</v>
      </c>
      <c r="AB560" s="126" t="s">
        <v>112</v>
      </c>
      <c r="AD560" t="str">
        <f t="shared" si="8"/>
        <v/>
      </c>
    </row>
    <row r="561" spans="1:30" ht="13" customHeight="1" x14ac:dyDescent="0.35">
      <c r="A561" s="120" t="s">
        <v>32</v>
      </c>
      <c r="B561" s="121" t="s">
        <v>70</v>
      </c>
      <c r="C561" s="121"/>
      <c r="D561" s="121" t="s">
        <v>101</v>
      </c>
      <c r="E561" s="128" t="s">
        <v>3079</v>
      </c>
      <c r="F561" s="122" t="s">
        <v>103</v>
      </c>
      <c r="G561" s="128" t="s">
        <v>3080</v>
      </c>
      <c r="H561" s="129"/>
      <c r="I561" s="130" t="s">
        <v>3081</v>
      </c>
      <c r="J561" s="128" t="s">
        <v>106</v>
      </c>
      <c r="K561" s="128"/>
      <c r="L561" s="64" t="s">
        <v>3082</v>
      </c>
      <c r="M561" s="65"/>
      <c r="N561" s="65"/>
      <c r="O561" s="131" t="s">
        <v>3083</v>
      </c>
      <c r="P561" s="128" t="s">
        <v>142</v>
      </c>
      <c r="Q561" s="185" t="s">
        <v>3084</v>
      </c>
      <c r="R561" s="128" t="s">
        <v>110</v>
      </c>
      <c r="U561" s="121"/>
      <c r="V561" s="121"/>
      <c r="W561" s="121"/>
      <c r="Y561" s="121"/>
      <c r="Z561" s="121"/>
      <c r="AA561" s="187" t="s">
        <v>3085</v>
      </c>
      <c r="AB561" s="126" t="s">
        <v>318</v>
      </c>
      <c r="AD561" t="str">
        <f t="shared" si="8"/>
        <v/>
      </c>
    </row>
    <row r="562" spans="1:30" ht="13" customHeight="1" x14ac:dyDescent="0.35">
      <c r="A562" s="120" t="s">
        <v>32</v>
      </c>
      <c r="B562" s="121" t="s">
        <v>70</v>
      </c>
      <c r="C562" s="121"/>
      <c r="D562" s="121" t="s">
        <v>101</v>
      </c>
      <c r="E562" s="121" t="s">
        <v>3086</v>
      </c>
      <c r="F562" s="122" t="s">
        <v>51</v>
      </c>
      <c r="G562" s="121" t="s">
        <v>174</v>
      </c>
      <c r="H562" s="123"/>
      <c r="I562" s="127" t="s">
        <v>3087</v>
      </c>
      <c r="J562" s="121" t="s">
        <v>106</v>
      </c>
      <c r="K562" s="121" t="s">
        <v>132</v>
      </c>
      <c r="L562" s="65" t="s">
        <v>736</v>
      </c>
      <c r="O562" s="206" t="s">
        <v>3088</v>
      </c>
      <c r="P562" s="125" t="s">
        <v>142</v>
      </c>
      <c r="Q562" s="121"/>
      <c r="R562" s="122" t="s">
        <v>110</v>
      </c>
      <c r="U562" s="121"/>
      <c r="V562" s="121"/>
      <c r="W562" s="121"/>
      <c r="Y562" s="121"/>
      <c r="Z562" s="121"/>
      <c r="AA562" s="187" t="s">
        <v>3089</v>
      </c>
      <c r="AB562" s="126"/>
      <c r="AD562" t="str">
        <f t="shared" si="8"/>
        <v/>
      </c>
    </row>
    <row r="563" spans="1:30" ht="13" customHeight="1" x14ac:dyDescent="0.35">
      <c r="A563" s="120" t="s">
        <v>32</v>
      </c>
      <c r="B563" s="121" t="s">
        <v>70</v>
      </c>
      <c r="C563" s="121"/>
      <c r="D563" s="121" t="s">
        <v>101</v>
      </c>
      <c r="E563" s="121" t="s">
        <v>3090</v>
      </c>
      <c r="F563" s="122" t="s">
        <v>51</v>
      </c>
      <c r="G563" s="121" t="s">
        <v>174</v>
      </c>
      <c r="H563" s="123"/>
      <c r="I563" s="127" t="s">
        <v>3091</v>
      </c>
      <c r="J563" s="121" t="s">
        <v>106</v>
      </c>
      <c r="K563" s="121" t="s">
        <v>132</v>
      </c>
      <c r="L563" s="65" t="s">
        <v>736</v>
      </c>
      <c r="O563" s="207" t="s">
        <v>3088</v>
      </c>
      <c r="P563" s="125" t="s">
        <v>142</v>
      </c>
      <c r="Q563" s="121"/>
      <c r="R563" s="122" t="s">
        <v>110</v>
      </c>
      <c r="U563" s="121"/>
      <c r="V563" s="121"/>
      <c r="W563" s="121"/>
      <c r="Y563" s="121"/>
      <c r="Z563" s="121"/>
      <c r="AA563" s="187" t="s">
        <v>3092</v>
      </c>
      <c r="AB563" s="126"/>
      <c r="AD563" t="str">
        <f t="shared" si="8"/>
        <v/>
      </c>
    </row>
    <row r="564" spans="1:30" ht="13" customHeight="1" x14ac:dyDescent="0.35">
      <c r="A564" s="120" t="s">
        <v>32</v>
      </c>
      <c r="B564" s="121" t="s">
        <v>70</v>
      </c>
      <c r="C564" s="121"/>
      <c r="D564" s="121" t="s">
        <v>120</v>
      </c>
      <c r="E564" s="122" t="s">
        <v>3093</v>
      </c>
      <c r="F564" s="122" t="s">
        <v>51</v>
      </c>
      <c r="G564" s="121" t="s">
        <v>52</v>
      </c>
      <c r="H564" s="123"/>
      <c r="I564" s="145" t="s">
        <v>3094</v>
      </c>
      <c r="J564" s="122" t="s">
        <v>123</v>
      </c>
      <c r="K564" s="122" t="s">
        <v>55</v>
      </c>
      <c r="L564" s="208" t="s">
        <v>3095</v>
      </c>
      <c r="M564" s="209"/>
      <c r="N564" s="209"/>
      <c r="O564" s="139" t="s">
        <v>3096</v>
      </c>
      <c r="P564" s="122" t="s">
        <v>58</v>
      </c>
      <c r="Q564" s="122" t="s">
        <v>3097</v>
      </c>
      <c r="R564" s="122" t="s">
        <v>118</v>
      </c>
      <c r="U564" s="121"/>
      <c r="V564" s="121"/>
      <c r="W564" s="121"/>
      <c r="Y564" s="121"/>
      <c r="Z564" s="121"/>
      <c r="AA564" s="187" t="s">
        <v>3098</v>
      </c>
      <c r="AB564" s="126"/>
      <c r="AD564" t="str">
        <f t="shared" si="8"/>
        <v/>
      </c>
    </row>
    <row r="565" spans="1:30" ht="13" customHeight="1" x14ac:dyDescent="0.35">
      <c r="A565" s="120" t="s">
        <v>69</v>
      </c>
      <c r="B565" s="121" t="s">
        <v>879</v>
      </c>
      <c r="C565" s="121" t="s">
        <v>880</v>
      </c>
      <c r="D565" s="121"/>
      <c r="E565" s="132" t="s">
        <v>3099</v>
      </c>
      <c r="F565" s="122" t="s">
        <v>548</v>
      </c>
      <c r="G565" s="121"/>
      <c r="H565" s="123"/>
      <c r="J565" s="121"/>
      <c r="K565" s="121"/>
      <c r="L565" s="61"/>
      <c r="M565" s="61"/>
      <c r="N565" s="61"/>
      <c r="O565" s="158"/>
      <c r="P565" s="121"/>
      <c r="Q565" s="132"/>
      <c r="R565" s="132"/>
      <c r="U565" s="132"/>
      <c r="V565" s="132"/>
      <c r="W565" s="132"/>
      <c r="Y565" s="196"/>
      <c r="Z565" s="121"/>
      <c r="AA565" s="187" t="s">
        <v>3100</v>
      </c>
      <c r="AB565" s="187"/>
      <c r="AD565" t="str">
        <f t="shared" si="8"/>
        <v/>
      </c>
    </row>
    <row r="566" spans="1:30" ht="13" customHeight="1" x14ac:dyDescent="0.35">
      <c r="A566" s="210" t="s">
        <v>32</v>
      </c>
      <c r="B566" s="211" t="s">
        <v>33</v>
      </c>
      <c r="C566" s="211"/>
      <c r="D566" s="211"/>
      <c r="E566" s="211" t="s">
        <v>3101</v>
      </c>
      <c r="F566" s="211" t="s">
        <v>3102</v>
      </c>
      <c r="G566" s="211" t="s">
        <v>36</v>
      </c>
      <c r="H566" s="212" t="s">
        <v>591</v>
      </c>
      <c r="I566" s="213" t="s">
        <v>3103</v>
      </c>
      <c r="J566" s="211"/>
      <c r="K566" s="211" t="s">
        <v>40</v>
      </c>
      <c r="L566" s="113" t="s">
        <v>3104</v>
      </c>
      <c r="M566" s="113" t="s">
        <v>3105</v>
      </c>
      <c r="N566" s="113"/>
      <c r="O566" s="214" t="s">
        <v>3106</v>
      </c>
      <c r="P566" s="211"/>
      <c r="Q566" s="211"/>
      <c r="R566" s="211"/>
      <c r="S566" s="215"/>
      <c r="T566" s="215"/>
      <c r="U566" s="211"/>
      <c r="V566" s="211"/>
      <c r="W566" s="211"/>
      <c r="X566" s="215"/>
      <c r="Y566" s="216">
        <v>45558</v>
      </c>
      <c r="Z566" s="211" t="s">
        <v>228</v>
      </c>
      <c r="AA566" s="187" t="s">
        <v>3107</v>
      </c>
      <c r="AB566" s="187" t="s">
        <v>3108</v>
      </c>
      <c r="AD566">
        <f t="shared" si="8"/>
        <v>1</v>
      </c>
    </row>
    <row r="567" spans="1:30" ht="13" customHeight="1" x14ac:dyDescent="0.35">
      <c r="A567" s="120" t="s">
        <v>32</v>
      </c>
      <c r="B567" s="121" t="s">
        <v>33</v>
      </c>
      <c r="C567" s="121"/>
      <c r="D567" s="121"/>
      <c r="E567" s="121" t="s">
        <v>3109</v>
      </c>
      <c r="F567" s="122" t="s">
        <v>3102</v>
      </c>
      <c r="G567" s="121" t="s">
        <v>336</v>
      </c>
      <c r="H567" s="123" t="s">
        <v>37</v>
      </c>
      <c r="I567" s="127" t="s">
        <v>3110</v>
      </c>
      <c r="J567" s="121" t="s">
        <v>45</v>
      </c>
      <c r="K567" s="121" t="s">
        <v>3111</v>
      </c>
      <c r="O567" s="124"/>
      <c r="P567" s="121"/>
      <c r="Q567" s="121"/>
      <c r="R567" s="121"/>
      <c r="U567" s="121"/>
      <c r="V567" s="121"/>
      <c r="W567" s="121"/>
      <c r="Y567" s="196">
        <v>45581</v>
      </c>
      <c r="Z567" s="121"/>
      <c r="AA567" s="187" t="s">
        <v>3112</v>
      </c>
      <c r="AB567" s="187" t="s">
        <v>3113</v>
      </c>
      <c r="AD567" t="str">
        <f t="shared" si="8"/>
        <v/>
      </c>
    </row>
    <row r="568" spans="1:30" ht="13" customHeight="1" x14ac:dyDescent="0.35">
      <c r="A568" s="120" t="s">
        <v>32</v>
      </c>
      <c r="B568" s="121" t="s">
        <v>33</v>
      </c>
      <c r="C568" s="121"/>
      <c r="D568" s="121"/>
      <c r="E568" s="132" t="s">
        <v>3114</v>
      </c>
      <c r="F568" s="122" t="s">
        <v>3102</v>
      </c>
      <c r="G568" s="121" t="s">
        <v>336</v>
      </c>
      <c r="H568" s="123" t="s">
        <v>193</v>
      </c>
      <c r="I568" s="127" t="s">
        <v>3115</v>
      </c>
      <c r="J568" s="121" t="s">
        <v>345</v>
      </c>
      <c r="K568" s="121" t="s">
        <v>40</v>
      </c>
      <c r="L568" s="61" t="s">
        <v>3116</v>
      </c>
      <c r="M568" s="61" t="s">
        <v>3117</v>
      </c>
      <c r="N568" s="61" t="s">
        <v>3118</v>
      </c>
      <c r="O568" s="158" t="s">
        <v>3119</v>
      </c>
      <c r="P568" s="121" t="s">
        <v>58</v>
      </c>
      <c r="Q568" s="190" t="s">
        <v>820</v>
      </c>
      <c r="R568" s="132"/>
      <c r="U568" s="132"/>
      <c r="V568" s="132"/>
      <c r="W568" s="132" t="s">
        <v>274</v>
      </c>
      <c r="Y568" s="196">
        <v>45594</v>
      </c>
      <c r="Z568" s="121" t="s">
        <v>228</v>
      </c>
      <c r="AA568" s="187" t="s">
        <v>3120</v>
      </c>
      <c r="AB568" s="187" t="s">
        <v>3121</v>
      </c>
      <c r="AD568">
        <f t="shared" si="8"/>
        <v>5</v>
      </c>
    </row>
    <row r="569" spans="1:30" ht="13" customHeight="1" x14ac:dyDescent="0.35">
      <c r="A569" s="120" t="s">
        <v>32</v>
      </c>
      <c r="B569" s="121" t="s">
        <v>33</v>
      </c>
      <c r="C569" s="121"/>
      <c r="D569" s="121"/>
      <c r="E569" s="121" t="s">
        <v>3122</v>
      </c>
      <c r="F569" s="122" t="s">
        <v>3102</v>
      </c>
      <c r="G569" s="121" t="s">
        <v>336</v>
      </c>
      <c r="H569" s="123" t="s">
        <v>37</v>
      </c>
      <c r="I569" s="127" t="s">
        <v>3123</v>
      </c>
      <c r="J569" s="121" t="s">
        <v>837</v>
      </c>
      <c r="K569" s="121" t="s">
        <v>55</v>
      </c>
      <c r="O569" s="124"/>
      <c r="P569" s="121"/>
      <c r="Q569" s="121"/>
      <c r="R569" s="121"/>
      <c r="U569" s="121"/>
      <c r="V569" s="121"/>
      <c r="W569" s="121"/>
      <c r="Y569" s="196">
        <v>45581</v>
      </c>
      <c r="Z569" s="121" t="s">
        <v>228</v>
      </c>
      <c r="AA569" s="187" t="s">
        <v>3124</v>
      </c>
      <c r="AB569" s="187" t="s">
        <v>3125</v>
      </c>
      <c r="AD569" t="str">
        <f t="shared" si="8"/>
        <v/>
      </c>
    </row>
    <row r="570" spans="1:30" ht="13" customHeight="1" x14ac:dyDescent="0.35">
      <c r="A570" s="120" t="s">
        <v>32</v>
      </c>
      <c r="B570" s="121" t="s">
        <v>33</v>
      </c>
      <c r="C570" s="121"/>
      <c r="D570" s="121"/>
      <c r="E570" s="121" t="s">
        <v>3126</v>
      </c>
      <c r="F570" s="122" t="s">
        <v>3102</v>
      </c>
      <c r="G570" s="121" t="s">
        <v>336</v>
      </c>
      <c r="H570" s="123" t="s">
        <v>3127</v>
      </c>
      <c r="I570" s="127" t="s">
        <v>3128</v>
      </c>
      <c r="J570" s="121" t="s">
        <v>1358</v>
      </c>
      <c r="K570" s="121" t="s">
        <v>40</v>
      </c>
      <c r="L570" s="217" t="s">
        <v>3129</v>
      </c>
      <c r="M570" s="60" t="s">
        <v>3130</v>
      </c>
      <c r="O570" s="124" t="s">
        <v>3131</v>
      </c>
      <c r="P570" s="121"/>
      <c r="Q570" s="121"/>
      <c r="R570" s="121"/>
      <c r="U570" s="121"/>
      <c r="V570" s="121"/>
      <c r="W570" s="121"/>
      <c r="Y570" s="196">
        <v>45689</v>
      </c>
      <c r="Z570" s="121" t="s">
        <v>802</v>
      </c>
      <c r="AA570" s="187" t="s">
        <v>3132</v>
      </c>
      <c r="AB570" s="187" t="s">
        <v>3133</v>
      </c>
      <c r="AD570">
        <f t="shared" si="8"/>
        <v>1</v>
      </c>
    </row>
    <row r="571" spans="1:30" ht="13" customHeight="1" x14ac:dyDescent="0.35">
      <c r="A571" s="120" t="s">
        <v>32</v>
      </c>
      <c r="B571" s="121" t="s">
        <v>438</v>
      </c>
      <c r="C571" s="121"/>
      <c r="D571" s="121"/>
      <c r="E571" s="121" t="s">
        <v>3134</v>
      </c>
      <c r="F571" s="122" t="s">
        <v>3102</v>
      </c>
      <c r="G571" s="121" t="s">
        <v>36</v>
      </c>
      <c r="H571" s="123" t="s">
        <v>440</v>
      </c>
      <c r="I571" s="127" t="s">
        <v>3135</v>
      </c>
      <c r="J571" s="121" t="s">
        <v>39</v>
      </c>
      <c r="K571" s="121" t="s">
        <v>40</v>
      </c>
      <c r="L571" s="59" t="s">
        <v>3136</v>
      </c>
      <c r="M571" s="63" t="s">
        <v>3137</v>
      </c>
      <c r="O571" s="124" t="s">
        <v>3138</v>
      </c>
      <c r="P571" s="121"/>
      <c r="Q571" s="121"/>
      <c r="R571" s="121"/>
      <c r="U571" s="121"/>
      <c r="V571" s="121"/>
      <c r="W571" s="121"/>
      <c r="Y571" s="196">
        <v>45582</v>
      </c>
      <c r="Z571" s="121" t="s">
        <v>228</v>
      </c>
      <c r="AA571" s="187" t="s">
        <v>3139</v>
      </c>
      <c r="AB571" s="187" t="s">
        <v>3140</v>
      </c>
      <c r="AD571">
        <f t="shared" si="8"/>
        <v>2</v>
      </c>
    </row>
    <row r="572" spans="1:30" ht="13" customHeight="1" x14ac:dyDescent="0.35">
      <c r="A572" s="120" t="s">
        <v>32</v>
      </c>
      <c r="B572" s="121" t="s">
        <v>33</v>
      </c>
      <c r="C572" s="121"/>
      <c r="D572" s="121"/>
      <c r="E572" s="121" t="s">
        <v>3141</v>
      </c>
      <c r="F572" s="122" t="s">
        <v>3102</v>
      </c>
      <c r="G572" s="121" t="s">
        <v>336</v>
      </c>
      <c r="H572" s="123" t="s">
        <v>37</v>
      </c>
      <c r="I572" s="127" t="s">
        <v>3142</v>
      </c>
      <c r="J572" s="121" t="s">
        <v>45</v>
      </c>
      <c r="K572" s="121" t="s">
        <v>55</v>
      </c>
      <c r="O572" s="124"/>
      <c r="P572" s="121"/>
      <c r="Q572" s="121"/>
      <c r="R572" s="121"/>
      <c r="U572" s="121"/>
      <c r="V572" s="121"/>
      <c r="W572" s="121"/>
      <c r="Y572" s="196">
        <v>45583</v>
      </c>
      <c r="Z572" s="121" t="s">
        <v>228</v>
      </c>
      <c r="AA572" s="187" t="s">
        <v>3143</v>
      </c>
      <c r="AB572" s="187" t="s">
        <v>3144</v>
      </c>
      <c r="AD572" t="str">
        <f t="shared" si="8"/>
        <v/>
      </c>
    </row>
    <row r="573" spans="1:30" ht="13" customHeight="1" x14ac:dyDescent="0.35">
      <c r="A573" s="120" t="s">
        <v>32</v>
      </c>
      <c r="B573" s="121" t="s">
        <v>33</v>
      </c>
      <c r="C573" s="121"/>
      <c r="D573" s="121"/>
      <c r="E573" s="218" t="s">
        <v>3145</v>
      </c>
      <c r="F573" s="122" t="s">
        <v>3102</v>
      </c>
      <c r="G573" s="121" t="s">
        <v>336</v>
      </c>
      <c r="H573" s="123" t="s">
        <v>223</v>
      </c>
      <c r="I573" s="219" t="s">
        <v>3146</v>
      </c>
      <c r="J573" s="140" t="s">
        <v>3146</v>
      </c>
      <c r="K573" s="121" t="s">
        <v>160</v>
      </c>
      <c r="L573" s="220" t="s">
        <v>594</v>
      </c>
      <c r="M573" s="220" t="s">
        <v>595</v>
      </c>
      <c r="N573" s="220"/>
      <c r="O573" s="221" t="s">
        <v>596</v>
      </c>
      <c r="P573" s="140"/>
      <c r="Q573" s="218"/>
      <c r="R573" s="218"/>
      <c r="U573" s="132"/>
      <c r="V573" s="132"/>
      <c r="W573" s="132"/>
      <c r="Y573" s="196">
        <v>45558</v>
      </c>
      <c r="Z573" s="121" t="s">
        <v>228</v>
      </c>
      <c r="AA573" s="187" t="s">
        <v>3147</v>
      </c>
      <c r="AB573" s="187" t="s">
        <v>3148</v>
      </c>
      <c r="AD573">
        <f t="shared" si="8"/>
        <v>3</v>
      </c>
    </row>
    <row r="574" spans="1:30" ht="13" customHeight="1" x14ac:dyDescent="0.35">
      <c r="A574" s="120" t="s">
        <v>32</v>
      </c>
      <c r="B574" s="121" t="s">
        <v>33</v>
      </c>
      <c r="C574" s="121"/>
      <c r="D574" s="121"/>
      <c r="E574" s="121" t="s">
        <v>2012</v>
      </c>
      <c r="F574" s="122" t="s">
        <v>3102</v>
      </c>
      <c r="G574" s="121" t="s">
        <v>336</v>
      </c>
      <c r="H574" s="123" t="s">
        <v>223</v>
      </c>
      <c r="I574" s="127" t="s">
        <v>3149</v>
      </c>
      <c r="J574" s="121" t="s">
        <v>39</v>
      </c>
      <c r="K574" s="121" t="s">
        <v>160</v>
      </c>
      <c r="L574" s="58" t="s">
        <v>665</v>
      </c>
      <c r="M574" s="63" t="s">
        <v>666</v>
      </c>
      <c r="N574" s="61"/>
      <c r="O574" s="124" t="s">
        <v>667</v>
      </c>
      <c r="P574" s="121"/>
      <c r="Q574" s="121"/>
      <c r="R574" s="121"/>
      <c r="U574" s="121"/>
      <c r="V574" s="121"/>
      <c r="W574" s="121"/>
      <c r="Y574" s="196">
        <v>45604</v>
      </c>
      <c r="Z574" s="121" t="s">
        <v>668</v>
      </c>
      <c r="AA574" s="187" t="s">
        <v>3150</v>
      </c>
      <c r="AB574" s="187" t="s">
        <v>3151</v>
      </c>
      <c r="AD574">
        <f t="shared" si="8"/>
        <v>3</v>
      </c>
    </row>
    <row r="575" spans="1:30" ht="13" customHeight="1" x14ac:dyDescent="0.35">
      <c r="A575" s="120" t="s">
        <v>32</v>
      </c>
      <c r="B575" s="121" t="s">
        <v>33</v>
      </c>
      <c r="C575" s="121"/>
      <c r="D575" s="121"/>
      <c r="E575" s="218" t="s">
        <v>3152</v>
      </c>
      <c r="F575" s="122" t="s">
        <v>3102</v>
      </c>
      <c r="G575" s="121" t="s">
        <v>36</v>
      </c>
      <c r="H575" s="123" t="s">
        <v>223</v>
      </c>
      <c r="I575" s="219" t="s">
        <v>3153</v>
      </c>
      <c r="J575" s="140" t="s">
        <v>39</v>
      </c>
      <c r="K575" s="121" t="s">
        <v>40</v>
      </c>
      <c r="L575" s="220" t="s">
        <v>1025</v>
      </c>
      <c r="M575" s="220" t="s">
        <v>1026</v>
      </c>
      <c r="N575" s="220" t="s">
        <v>1027</v>
      </c>
      <c r="O575" s="221" t="s">
        <v>1028</v>
      </c>
      <c r="P575" s="140"/>
      <c r="Q575" s="218"/>
      <c r="R575" s="218"/>
      <c r="U575" s="132"/>
      <c r="V575" s="132"/>
      <c r="W575" s="132"/>
      <c r="Y575" s="196">
        <v>45558</v>
      </c>
      <c r="Z575" s="121" t="s">
        <v>228</v>
      </c>
      <c r="AA575" s="187" t="s">
        <v>3154</v>
      </c>
      <c r="AB575" s="187" t="s">
        <v>3155</v>
      </c>
      <c r="AD575">
        <f t="shared" si="8"/>
        <v>3</v>
      </c>
    </row>
    <row r="576" spans="1:30" ht="13" customHeight="1" x14ac:dyDescent="0.35">
      <c r="A576" s="120" t="s">
        <v>32</v>
      </c>
      <c r="B576" s="121" t="s">
        <v>33</v>
      </c>
      <c r="C576" s="121"/>
      <c r="D576" s="121"/>
      <c r="E576" s="218" t="s">
        <v>3156</v>
      </c>
      <c r="F576" s="122" t="s">
        <v>3102</v>
      </c>
      <c r="G576" s="121" t="s">
        <v>36</v>
      </c>
      <c r="H576" s="123" t="s">
        <v>223</v>
      </c>
      <c r="I576" s="219" t="s">
        <v>3157</v>
      </c>
      <c r="J576" s="140" t="s">
        <v>39</v>
      </c>
      <c r="K576" s="121" t="s">
        <v>40</v>
      </c>
      <c r="L576" s="220" t="s">
        <v>1025</v>
      </c>
      <c r="M576" s="220" t="s">
        <v>1026</v>
      </c>
      <c r="N576" s="220" t="s">
        <v>1027</v>
      </c>
      <c r="O576" s="221" t="s">
        <v>1028</v>
      </c>
      <c r="P576" s="140"/>
      <c r="Q576" s="218"/>
      <c r="R576" s="218"/>
      <c r="U576" s="132"/>
      <c r="V576" s="132"/>
      <c r="W576" s="132"/>
      <c r="Y576" s="196">
        <v>45558</v>
      </c>
      <c r="Z576" s="121" t="s">
        <v>228</v>
      </c>
      <c r="AA576" s="187" t="s">
        <v>3158</v>
      </c>
      <c r="AB576" s="187" t="s">
        <v>3159</v>
      </c>
      <c r="AD576">
        <f t="shared" si="8"/>
        <v>3</v>
      </c>
    </row>
    <row r="577" spans="1:30" ht="13" customHeight="1" x14ac:dyDescent="0.35">
      <c r="A577" s="120" t="s">
        <v>32</v>
      </c>
      <c r="B577" s="121" t="s">
        <v>33</v>
      </c>
      <c r="C577" s="121"/>
      <c r="D577" s="121"/>
      <c r="E577" s="121" t="s">
        <v>3160</v>
      </c>
      <c r="F577" s="122" t="s">
        <v>3102</v>
      </c>
      <c r="G577" s="121" t="s">
        <v>336</v>
      </c>
      <c r="H577" s="123" t="s">
        <v>223</v>
      </c>
      <c r="I577" s="127" t="s">
        <v>3161</v>
      </c>
      <c r="J577" s="121" t="s">
        <v>39</v>
      </c>
      <c r="K577" s="121" t="s">
        <v>599</v>
      </c>
      <c r="L577" s="58" t="s">
        <v>3162</v>
      </c>
      <c r="M577" s="63" t="s">
        <v>3163</v>
      </c>
      <c r="N577" s="61" t="s">
        <v>3164</v>
      </c>
      <c r="O577" s="124" t="s">
        <v>3165</v>
      </c>
      <c r="P577" s="121"/>
      <c r="Q577" s="121"/>
      <c r="R577" s="121"/>
      <c r="U577" s="121"/>
      <c r="V577" s="121"/>
      <c r="W577" s="121"/>
      <c r="Y577" s="196">
        <v>45558</v>
      </c>
      <c r="Z577" s="121"/>
      <c r="AA577" s="187" t="s">
        <v>3166</v>
      </c>
      <c r="AB577" s="187" t="s">
        <v>3167</v>
      </c>
      <c r="AD577">
        <f t="shared" si="8"/>
        <v>2</v>
      </c>
    </row>
    <row r="578" spans="1:30" ht="13" customHeight="1" x14ac:dyDescent="0.35">
      <c r="A578" s="120" t="s">
        <v>32</v>
      </c>
      <c r="B578" s="121" t="s">
        <v>33</v>
      </c>
      <c r="C578" s="121"/>
      <c r="D578" s="121"/>
      <c r="E578" s="121" t="s">
        <v>3168</v>
      </c>
      <c r="F578" s="122" t="s">
        <v>3102</v>
      </c>
      <c r="G578" s="121" t="s">
        <v>336</v>
      </c>
      <c r="H578" s="123" t="s">
        <v>223</v>
      </c>
      <c r="I578" s="127" t="s">
        <v>3169</v>
      </c>
      <c r="J578" s="121" t="s">
        <v>39</v>
      </c>
      <c r="K578" s="121" t="s">
        <v>599</v>
      </c>
      <c r="L578" s="58" t="s">
        <v>3162</v>
      </c>
      <c r="M578" s="63" t="s">
        <v>3170</v>
      </c>
      <c r="N578" s="61" t="s">
        <v>3164</v>
      </c>
      <c r="O578" s="124" t="s">
        <v>3171</v>
      </c>
      <c r="P578" s="121"/>
      <c r="Q578" s="121"/>
      <c r="R578" s="121"/>
      <c r="U578" s="121"/>
      <c r="V578" s="121"/>
      <c r="W578" s="121"/>
      <c r="Y578" s="196">
        <v>45558</v>
      </c>
      <c r="Z578" s="121"/>
      <c r="AA578" s="187" t="s">
        <v>3172</v>
      </c>
      <c r="AB578" s="187" t="s">
        <v>3173</v>
      </c>
      <c r="AD578">
        <f t="shared" ref="AD578:AD639" si="9">IF(M578="","",COUNTA(_xlfn.TEXTSPLIT(M578,CHAR(10))))</f>
        <v>2</v>
      </c>
    </row>
    <row r="579" spans="1:30" ht="13" customHeight="1" x14ac:dyDescent="0.35">
      <c r="A579" s="120" t="s">
        <v>32</v>
      </c>
      <c r="B579" s="121" t="s">
        <v>33</v>
      </c>
      <c r="C579" s="121"/>
      <c r="D579" s="121"/>
      <c r="E579" s="121" t="s">
        <v>3174</v>
      </c>
      <c r="F579" s="122" t="s">
        <v>3102</v>
      </c>
      <c r="G579" s="121" t="s">
        <v>336</v>
      </c>
      <c r="H579" s="123" t="s">
        <v>3127</v>
      </c>
      <c r="I579" s="127" t="s">
        <v>3175</v>
      </c>
      <c r="J579" s="121" t="s">
        <v>3176</v>
      </c>
      <c r="K579" s="121" t="s">
        <v>1142</v>
      </c>
      <c r="L579" s="222" t="s">
        <v>3177</v>
      </c>
      <c r="M579" s="61" t="s">
        <v>3178</v>
      </c>
      <c r="N579" s="61"/>
      <c r="O579" s="124" t="s">
        <v>3179</v>
      </c>
      <c r="P579" s="121"/>
      <c r="Q579" s="121"/>
      <c r="R579" s="121"/>
      <c r="U579" s="121"/>
      <c r="V579" s="121"/>
      <c r="W579" s="121"/>
      <c r="Y579" s="196">
        <v>45689</v>
      </c>
      <c r="Z579" s="121" t="s">
        <v>802</v>
      </c>
      <c r="AA579" s="187" t="s">
        <v>3180</v>
      </c>
      <c r="AB579" s="187" t="s">
        <v>3181</v>
      </c>
      <c r="AD579">
        <f t="shared" si="9"/>
        <v>1</v>
      </c>
    </row>
    <row r="580" spans="1:30" ht="13" customHeight="1" x14ac:dyDescent="0.35">
      <c r="A580" s="120" t="s">
        <v>32</v>
      </c>
      <c r="B580" s="121" t="s">
        <v>33</v>
      </c>
      <c r="C580" s="121"/>
      <c r="D580" s="121"/>
      <c r="E580" s="121" t="s">
        <v>3182</v>
      </c>
      <c r="F580" s="122" t="s">
        <v>3102</v>
      </c>
      <c r="G580" s="121" t="s">
        <v>336</v>
      </c>
      <c r="H580" s="123" t="s">
        <v>440</v>
      </c>
      <c r="I580" s="127" t="s">
        <v>3183</v>
      </c>
      <c r="J580" s="121" t="s">
        <v>39</v>
      </c>
      <c r="K580" s="121" t="s">
        <v>1142</v>
      </c>
      <c r="L580" s="223" t="s">
        <v>2094</v>
      </c>
      <c r="M580" s="63" t="s">
        <v>2095</v>
      </c>
      <c r="N580" s="60" t="s">
        <v>2096</v>
      </c>
      <c r="O580" s="124" t="s">
        <v>2097</v>
      </c>
      <c r="P580" s="121"/>
      <c r="Q580" s="121"/>
      <c r="R580" s="121"/>
      <c r="U580" s="121"/>
      <c r="V580" s="121"/>
      <c r="W580" s="121"/>
      <c r="Y580" s="196">
        <v>45689</v>
      </c>
      <c r="Z580" s="121" t="s">
        <v>228</v>
      </c>
      <c r="AA580" s="187" t="s">
        <v>3184</v>
      </c>
      <c r="AB580" s="187" t="s">
        <v>3185</v>
      </c>
      <c r="AD580">
        <f t="shared" si="9"/>
        <v>3</v>
      </c>
    </row>
    <row r="581" spans="1:30" ht="13" customHeight="1" x14ac:dyDescent="0.35">
      <c r="A581" s="7" t="s">
        <v>69</v>
      </c>
      <c r="B581" s="8" t="s">
        <v>33</v>
      </c>
      <c r="C581" s="121" t="s">
        <v>799</v>
      </c>
      <c r="E581" s="29" t="s">
        <v>3099</v>
      </c>
      <c r="F581" s="9" t="s">
        <v>548</v>
      </c>
      <c r="L581" s="61"/>
      <c r="M581" s="61"/>
      <c r="N581" s="61"/>
      <c r="AA581" s="15" t="s">
        <v>3186</v>
      </c>
      <c r="AB581" s="15"/>
      <c r="AD581" t="str">
        <f t="shared" si="9"/>
        <v/>
      </c>
    </row>
    <row r="582" spans="1:30" ht="13" customHeight="1" x14ac:dyDescent="0.35">
      <c r="A582" s="7" t="s">
        <v>69</v>
      </c>
      <c r="B582" s="8" t="s">
        <v>33</v>
      </c>
      <c r="C582" s="224" t="s">
        <v>799</v>
      </c>
      <c r="E582" s="29" t="s">
        <v>1001</v>
      </c>
      <c r="F582" s="9" t="s">
        <v>136</v>
      </c>
      <c r="H582" s="10" t="s">
        <v>3187</v>
      </c>
      <c r="L582" s="61" t="s">
        <v>3188</v>
      </c>
      <c r="M582" s="61" t="s">
        <v>1004</v>
      </c>
      <c r="N582" s="61" t="s">
        <v>1005</v>
      </c>
      <c r="O582" s="31" t="s">
        <v>3189</v>
      </c>
      <c r="Z582" s="8" t="s">
        <v>3190</v>
      </c>
      <c r="AA582" s="15" t="s">
        <v>3191</v>
      </c>
      <c r="AB582" s="15" t="s">
        <v>3192</v>
      </c>
      <c r="AD582">
        <f t="shared" si="9"/>
        <v>3</v>
      </c>
    </row>
    <row r="583" spans="1:30" ht="13" customHeight="1" x14ac:dyDescent="0.35">
      <c r="A583" s="7" t="s">
        <v>69</v>
      </c>
      <c r="B583" s="8" t="s">
        <v>879</v>
      </c>
      <c r="C583" s="224" t="s">
        <v>880</v>
      </c>
      <c r="E583" s="29" t="s">
        <v>3193</v>
      </c>
      <c r="F583" s="9" t="s">
        <v>145</v>
      </c>
      <c r="H583" s="10" t="s">
        <v>1176</v>
      </c>
      <c r="L583" s="61" t="s">
        <v>3194</v>
      </c>
      <c r="M583" s="61" t="s">
        <v>2771</v>
      </c>
      <c r="N583" s="61" t="s">
        <v>3195</v>
      </c>
      <c r="Z583" s="8" t="s">
        <v>228</v>
      </c>
      <c r="AA583" s="15" t="s">
        <v>3196</v>
      </c>
      <c r="AB583" s="15" t="s">
        <v>3197</v>
      </c>
      <c r="AD583">
        <f t="shared" si="9"/>
        <v>1</v>
      </c>
    </row>
    <row r="584" spans="1:30" ht="13" customHeight="1" x14ac:dyDescent="0.35">
      <c r="A584" s="7" t="s">
        <v>69</v>
      </c>
      <c r="B584" s="8" t="s">
        <v>33</v>
      </c>
      <c r="C584" s="224" t="s">
        <v>799</v>
      </c>
      <c r="E584" s="29" t="s">
        <v>3198</v>
      </c>
      <c r="F584" s="9" t="s">
        <v>103</v>
      </c>
      <c r="H584" s="10" t="s">
        <v>1176</v>
      </c>
      <c r="AA584" s="15" t="s">
        <v>3199</v>
      </c>
      <c r="AB584" s="15" t="s">
        <v>3200</v>
      </c>
      <c r="AD584" t="str">
        <f t="shared" si="9"/>
        <v/>
      </c>
    </row>
    <row r="585" spans="1:30" ht="13" customHeight="1" x14ac:dyDescent="0.35">
      <c r="A585" s="7" t="s">
        <v>69</v>
      </c>
      <c r="B585" s="8" t="s">
        <v>33</v>
      </c>
      <c r="E585" s="29" t="s">
        <v>3201</v>
      </c>
      <c r="F585" s="9" t="s">
        <v>548</v>
      </c>
      <c r="I585" s="127" t="s">
        <v>3202</v>
      </c>
      <c r="J585" s="8" t="s">
        <v>815</v>
      </c>
      <c r="L585" s="60" t="s">
        <v>3203</v>
      </c>
      <c r="M585" s="61" t="s">
        <v>3204</v>
      </c>
      <c r="N585" s="61" t="s">
        <v>3205</v>
      </c>
      <c r="O585" s="31" t="s">
        <v>3206</v>
      </c>
      <c r="Q585" s="84" t="s">
        <v>3207</v>
      </c>
      <c r="Z585" s="8" t="s">
        <v>228</v>
      </c>
      <c r="AA585" s="15" t="s">
        <v>3208</v>
      </c>
      <c r="AB585" s="12" t="s">
        <v>3209</v>
      </c>
      <c r="AD585">
        <f t="shared" si="9"/>
        <v>2</v>
      </c>
    </row>
    <row r="586" spans="1:30" ht="13" customHeight="1" x14ac:dyDescent="0.35">
      <c r="A586" s="7" t="s">
        <v>69</v>
      </c>
      <c r="B586" s="8" t="s">
        <v>33</v>
      </c>
      <c r="C586" s="224" t="s">
        <v>799</v>
      </c>
      <c r="E586" s="29" t="s">
        <v>3210</v>
      </c>
      <c r="F586" s="9" t="s">
        <v>2425</v>
      </c>
      <c r="H586" s="10" t="s">
        <v>3211</v>
      </c>
      <c r="L586" s="61" t="s">
        <v>3212</v>
      </c>
      <c r="M586" s="61" t="s">
        <v>3213</v>
      </c>
      <c r="N586" s="61" t="s">
        <v>3118</v>
      </c>
      <c r="O586" s="31" t="s">
        <v>3214</v>
      </c>
      <c r="P586" s="8" t="s">
        <v>15</v>
      </c>
      <c r="Q586" s="84" t="s">
        <v>820</v>
      </c>
      <c r="AA586" s="15" t="s">
        <v>3215</v>
      </c>
      <c r="AB586" s="15" t="s">
        <v>3216</v>
      </c>
      <c r="AD586">
        <f t="shared" si="9"/>
        <v>3</v>
      </c>
    </row>
    <row r="587" spans="1:30" ht="13" customHeight="1" x14ac:dyDescent="0.35">
      <c r="A587" s="7" t="s">
        <v>69</v>
      </c>
      <c r="B587" s="8" t="s">
        <v>33</v>
      </c>
      <c r="E587" s="29" t="s">
        <v>3217</v>
      </c>
      <c r="F587" s="9" t="s">
        <v>103</v>
      </c>
      <c r="I587" s="195"/>
      <c r="L587" s="61"/>
      <c r="M587" s="61"/>
      <c r="N587" s="61"/>
      <c r="Q587" s="84"/>
      <c r="AA587" s="15" t="s">
        <v>3218</v>
      </c>
      <c r="AB587" s="15" t="s">
        <v>1446</v>
      </c>
      <c r="AD587" t="str">
        <f t="shared" si="9"/>
        <v/>
      </c>
    </row>
    <row r="588" spans="1:30" ht="13" customHeight="1" x14ac:dyDescent="0.35">
      <c r="A588" s="7" t="s">
        <v>32</v>
      </c>
      <c r="B588" s="8" t="s">
        <v>33</v>
      </c>
      <c r="E588" s="8" t="s">
        <v>1538</v>
      </c>
      <c r="F588" s="8" t="s">
        <v>548</v>
      </c>
      <c r="G588" s="8" t="s">
        <v>3219</v>
      </c>
      <c r="H588" s="10" t="s">
        <v>223</v>
      </c>
      <c r="I588" s="127" t="s">
        <v>3220</v>
      </c>
      <c r="J588" s="8" t="s">
        <v>3221</v>
      </c>
      <c r="K588" s="8" t="s">
        <v>40</v>
      </c>
      <c r="L588" s="223" t="s">
        <v>3222</v>
      </c>
      <c r="M588" s="63" t="s">
        <v>3223</v>
      </c>
      <c r="N588" s="63" t="s">
        <v>3224</v>
      </c>
      <c r="O588" s="11" t="s">
        <v>3225</v>
      </c>
      <c r="Q588" s="8"/>
      <c r="R588" s="8"/>
      <c r="U588" s="8"/>
      <c r="V588" s="8"/>
      <c r="W588" s="8"/>
      <c r="Y588" s="13">
        <v>45603</v>
      </c>
      <c r="Z588" s="8" t="s">
        <v>668</v>
      </c>
      <c r="AA588" s="15" t="s">
        <v>3226</v>
      </c>
      <c r="AB588" s="15" t="s">
        <v>3227</v>
      </c>
      <c r="AD588">
        <f t="shared" si="9"/>
        <v>2</v>
      </c>
    </row>
    <row r="589" spans="1:30" ht="13" customHeight="1" x14ac:dyDescent="0.35">
      <c r="A589" s="7" t="s">
        <v>32</v>
      </c>
      <c r="B589" s="8" t="s">
        <v>48</v>
      </c>
      <c r="D589" s="8" t="s">
        <v>172</v>
      </c>
      <c r="E589" s="8" t="s">
        <v>3228</v>
      </c>
      <c r="F589" s="9" t="s">
        <v>51</v>
      </c>
      <c r="G589" s="8" t="s">
        <v>622</v>
      </c>
      <c r="I589" s="127" t="s">
        <v>3229</v>
      </c>
      <c r="J589" s="8" t="s">
        <v>176</v>
      </c>
      <c r="K589" s="8" t="s">
        <v>55</v>
      </c>
      <c r="L589" s="65" t="s">
        <v>3230</v>
      </c>
      <c r="O589" s="11" t="s">
        <v>3231</v>
      </c>
      <c r="P589" s="8" t="s">
        <v>142</v>
      </c>
      <c r="Q589" s="8" t="s">
        <v>3232</v>
      </c>
      <c r="R589" s="8" t="s">
        <v>118</v>
      </c>
      <c r="U589" s="8"/>
      <c r="V589" s="8"/>
      <c r="W589" s="8"/>
      <c r="Y589" s="8"/>
      <c r="AA589" s="15" t="s">
        <v>3233</v>
      </c>
      <c r="AD589" t="str">
        <f t="shared" si="9"/>
        <v/>
      </c>
    </row>
    <row r="590" spans="1:30" ht="13" customHeight="1" x14ac:dyDescent="0.35">
      <c r="A590" s="7" t="s">
        <v>32</v>
      </c>
      <c r="B590" s="8" t="s">
        <v>48</v>
      </c>
      <c r="D590" s="8" t="s">
        <v>172</v>
      </c>
      <c r="E590" s="8" t="s">
        <v>3234</v>
      </c>
      <c r="F590" s="9" t="s">
        <v>51</v>
      </c>
      <c r="G590" s="8" t="s">
        <v>52</v>
      </c>
      <c r="I590" s="127" t="s">
        <v>3235</v>
      </c>
      <c r="J590" s="8" t="s">
        <v>176</v>
      </c>
      <c r="K590" s="8" t="s">
        <v>55</v>
      </c>
      <c r="L590" s="64" t="s">
        <v>3236</v>
      </c>
      <c r="M590" s="61"/>
      <c r="N590" s="61"/>
      <c r="O590" s="11" t="s">
        <v>3237</v>
      </c>
      <c r="P590" s="8" t="s">
        <v>58</v>
      </c>
      <c r="Q590" s="8" t="s">
        <v>3238</v>
      </c>
      <c r="R590" s="8" t="s">
        <v>110</v>
      </c>
      <c r="U590" s="8"/>
      <c r="V590" s="8"/>
      <c r="W590" s="8"/>
      <c r="Y590" s="8"/>
      <c r="AA590" s="15" t="s">
        <v>3239</v>
      </c>
      <c r="AD590" t="str">
        <f t="shared" si="9"/>
        <v/>
      </c>
    </row>
    <row r="591" spans="1:30" ht="13" customHeight="1" x14ac:dyDescent="0.35">
      <c r="A591" s="7" t="s">
        <v>32</v>
      </c>
      <c r="B591" s="8" t="s">
        <v>33</v>
      </c>
      <c r="E591" s="8" t="s">
        <v>3240</v>
      </c>
      <c r="F591" s="8" t="s">
        <v>548</v>
      </c>
      <c r="G591" s="8" t="s">
        <v>3241</v>
      </c>
      <c r="H591" s="10" t="s">
        <v>591</v>
      </c>
      <c r="I591" s="127" t="s">
        <v>3242</v>
      </c>
      <c r="J591" s="8" t="s">
        <v>815</v>
      </c>
      <c r="L591" s="223" t="s">
        <v>3222</v>
      </c>
      <c r="M591" s="63" t="s">
        <v>3223</v>
      </c>
      <c r="N591" s="63" t="s">
        <v>3224</v>
      </c>
      <c r="O591" s="11" t="s">
        <v>3243</v>
      </c>
      <c r="Q591" s="8"/>
      <c r="R591" s="8"/>
      <c r="U591" s="8"/>
      <c r="V591" s="8"/>
      <c r="W591" s="8"/>
      <c r="Y591" s="13">
        <v>45596</v>
      </c>
      <c r="Z591" s="8" t="s">
        <v>228</v>
      </c>
      <c r="AA591" s="15" t="s">
        <v>3244</v>
      </c>
      <c r="AD591">
        <f t="shared" si="9"/>
        <v>2</v>
      </c>
    </row>
    <row r="592" spans="1:30" ht="13" customHeight="1" x14ac:dyDescent="0.35">
      <c r="A592" s="7" t="s">
        <v>32</v>
      </c>
      <c r="B592" s="8" t="s">
        <v>33</v>
      </c>
      <c r="E592" s="8" t="s">
        <v>3245</v>
      </c>
      <c r="F592" s="8" t="s">
        <v>548</v>
      </c>
      <c r="G592" s="8" t="s">
        <v>3246</v>
      </c>
      <c r="H592" s="10" t="s">
        <v>223</v>
      </c>
      <c r="I592" s="127" t="s">
        <v>3247</v>
      </c>
      <c r="J592" s="8" t="s">
        <v>3248</v>
      </c>
      <c r="K592" s="8" t="s">
        <v>40</v>
      </c>
      <c r="L592" s="223" t="s">
        <v>3222</v>
      </c>
      <c r="M592" s="63" t="s">
        <v>3223</v>
      </c>
      <c r="N592" s="63" t="s">
        <v>3224</v>
      </c>
      <c r="O592" s="11" t="s">
        <v>3249</v>
      </c>
      <c r="Q592" s="8"/>
      <c r="R592" s="8"/>
      <c r="U592" s="8"/>
      <c r="V592" s="8"/>
      <c r="W592" s="8"/>
      <c r="Y592" s="13">
        <v>45603</v>
      </c>
      <c r="Z592" s="8" t="s">
        <v>668</v>
      </c>
      <c r="AA592" s="15" t="s">
        <v>3250</v>
      </c>
      <c r="AB592" s="15" t="s">
        <v>3251</v>
      </c>
      <c r="AD592">
        <f t="shared" si="9"/>
        <v>2</v>
      </c>
    </row>
    <row r="593" spans="1:30" ht="13" customHeight="1" x14ac:dyDescent="0.35">
      <c r="A593" s="7" t="s">
        <v>32</v>
      </c>
      <c r="B593" s="8" t="s">
        <v>33</v>
      </c>
      <c r="E593" s="8" t="s">
        <v>3252</v>
      </c>
      <c r="F593" s="8" t="s">
        <v>548</v>
      </c>
      <c r="G593" s="8" t="s">
        <v>3241</v>
      </c>
      <c r="H593" s="10" t="s">
        <v>591</v>
      </c>
      <c r="I593" s="127" t="s">
        <v>3253</v>
      </c>
      <c r="J593" s="8" t="s">
        <v>815</v>
      </c>
      <c r="L593" s="223" t="s">
        <v>3222</v>
      </c>
      <c r="M593" s="63" t="s">
        <v>3223</v>
      </c>
      <c r="N593" s="63" t="s">
        <v>3224</v>
      </c>
      <c r="O593" s="11" t="s">
        <v>3254</v>
      </c>
      <c r="Q593" s="8"/>
      <c r="R593" s="8"/>
      <c r="U593" s="8"/>
      <c r="V593" s="8"/>
      <c r="W593" s="8"/>
      <c r="Y593" s="13">
        <v>45596</v>
      </c>
      <c r="Z593" s="8" t="s">
        <v>228</v>
      </c>
      <c r="AA593" s="15" t="s">
        <v>3255</v>
      </c>
      <c r="AD593">
        <f t="shared" si="9"/>
        <v>2</v>
      </c>
    </row>
    <row r="594" spans="1:30" ht="13" customHeight="1" x14ac:dyDescent="0.35">
      <c r="A594" s="7" t="s">
        <v>32</v>
      </c>
      <c r="B594" s="8" t="s">
        <v>33</v>
      </c>
      <c r="E594" s="29" t="s">
        <v>1627</v>
      </c>
      <c r="F594" s="9" t="s">
        <v>548</v>
      </c>
      <c r="G594" s="8" t="s">
        <v>36</v>
      </c>
      <c r="H594" s="10" t="s">
        <v>223</v>
      </c>
      <c r="I594" s="127" t="s">
        <v>3256</v>
      </c>
      <c r="J594" s="8" t="s">
        <v>39</v>
      </c>
      <c r="K594" s="8" t="s">
        <v>40</v>
      </c>
      <c r="L594" s="61" t="s">
        <v>3257</v>
      </c>
      <c r="M594" s="61" t="s">
        <v>1630</v>
      </c>
      <c r="N594" s="61" t="s">
        <v>1631</v>
      </c>
      <c r="O594" s="31" t="s">
        <v>3258</v>
      </c>
      <c r="P594" s="8" t="s">
        <v>3259</v>
      </c>
      <c r="Q594" s="84" t="s">
        <v>3260</v>
      </c>
      <c r="Y594" s="13">
        <v>45558</v>
      </c>
      <c r="Z594" s="8" t="s">
        <v>228</v>
      </c>
      <c r="AA594" s="15" t="s">
        <v>3261</v>
      </c>
      <c r="AB594" s="15" t="s">
        <v>3262</v>
      </c>
      <c r="AD594">
        <f t="shared" si="9"/>
        <v>3</v>
      </c>
    </row>
    <row r="595" spans="1:30" ht="13" customHeight="1" x14ac:dyDescent="0.35">
      <c r="A595" s="7" t="s">
        <v>32</v>
      </c>
      <c r="B595" s="8" t="s">
        <v>33</v>
      </c>
      <c r="E595" s="8" t="s">
        <v>3263</v>
      </c>
      <c r="F595" s="9" t="s">
        <v>548</v>
      </c>
      <c r="G595" s="8" t="s">
        <v>336</v>
      </c>
      <c r="H595" s="10" t="s">
        <v>223</v>
      </c>
      <c r="I595" s="127" t="s">
        <v>3264</v>
      </c>
      <c r="J595" s="8" t="s">
        <v>432</v>
      </c>
      <c r="K595" s="8" t="s">
        <v>40</v>
      </c>
      <c r="L595" s="223" t="s">
        <v>3265</v>
      </c>
      <c r="M595" s="59" t="s">
        <v>3266</v>
      </c>
      <c r="N595" s="61" t="s">
        <v>3267</v>
      </c>
      <c r="O595" s="11" t="s">
        <v>3268</v>
      </c>
      <c r="Q595" s="82" t="s">
        <v>820</v>
      </c>
      <c r="R595" s="8"/>
      <c r="U595" s="8"/>
      <c r="V595" s="8"/>
      <c r="W595" s="8"/>
      <c r="Y595" s="13">
        <v>45558</v>
      </c>
      <c r="Z595" s="8" t="s">
        <v>228</v>
      </c>
      <c r="AA595" s="15" t="s">
        <v>3269</v>
      </c>
      <c r="AB595" s="15" t="s">
        <v>3270</v>
      </c>
      <c r="AD595">
        <f t="shared" si="9"/>
        <v>1</v>
      </c>
    </row>
    <row r="596" spans="1:30" ht="13" customHeight="1" x14ac:dyDescent="0.35">
      <c r="A596" s="7" t="s">
        <v>32</v>
      </c>
      <c r="B596" s="8" t="s">
        <v>33</v>
      </c>
      <c r="E596" s="8" t="s">
        <v>3263</v>
      </c>
      <c r="F596" s="9" t="s">
        <v>548</v>
      </c>
      <c r="G596" s="8" t="s">
        <v>336</v>
      </c>
      <c r="H596" s="10" t="s">
        <v>223</v>
      </c>
      <c r="I596" s="127" t="s">
        <v>3271</v>
      </c>
      <c r="J596" s="8" t="s">
        <v>39</v>
      </c>
      <c r="K596" s="8" t="s">
        <v>40</v>
      </c>
      <c r="L596" s="223" t="s">
        <v>3265</v>
      </c>
      <c r="M596" s="59" t="s">
        <v>3266</v>
      </c>
      <c r="N596" s="61" t="s">
        <v>3267</v>
      </c>
      <c r="O596" s="11" t="s">
        <v>3268</v>
      </c>
      <c r="Q596" s="82" t="s">
        <v>820</v>
      </c>
      <c r="R596" s="8"/>
      <c r="U596" s="8"/>
      <c r="V596" s="8"/>
      <c r="W596" s="8"/>
      <c r="Y596" s="13">
        <v>45558</v>
      </c>
      <c r="Z596" s="8" t="s">
        <v>228</v>
      </c>
      <c r="AA596" s="15" t="s">
        <v>3272</v>
      </c>
      <c r="AB596" s="15" t="s">
        <v>3270</v>
      </c>
      <c r="AD596">
        <f t="shared" si="9"/>
        <v>1</v>
      </c>
    </row>
    <row r="597" spans="1:30" ht="13" customHeight="1" x14ac:dyDescent="0.35">
      <c r="A597" s="7" t="s">
        <v>32</v>
      </c>
      <c r="B597" s="8" t="s">
        <v>33</v>
      </c>
      <c r="E597" s="8" t="s">
        <v>3273</v>
      </c>
      <c r="F597" s="8" t="s">
        <v>548</v>
      </c>
      <c r="G597" s="8" t="s">
        <v>336</v>
      </c>
      <c r="H597" s="10" t="s">
        <v>440</v>
      </c>
      <c r="I597" s="127" t="s">
        <v>3274</v>
      </c>
      <c r="J597" s="8" t="s">
        <v>432</v>
      </c>
      <c r="K597" s="8" t="s">
        <v>160</v>
      </c>
      <c r="L597" s="223" t="s">
        <v>3275</v>
      </c>
      <c r="M597" s="63" t="s">
        <v>855</v>
      </c>
      <c r="N597" s="61" t="s">
        <v>3276</v>
      </c>
      <c r="O597" s="11" t="s">
        <v>3277</v>
      </c>
      <c r="Q597" s="8"/>
      <c r="R597" s="8"/>
      <c r="U597" s="8"/>
      <c r="V597" s="8"/>
      <c r="W597" s="8"/>
      <c r="Y597" s="13">
        <v>45689</v>
      </c>
      <c r="Z597" s="8" t="s">
        <v>228</v>
      </c>
      <c r="AA597" s="15" t="s">
        <v>3278</v>
      </c>
      <c r="AB597" s="15" t="s">
        <v>3279</v>
      </c>
      <c r="AD597">
        <f t="shared" si="9"/>
        <v>2</v>
      </c>
    </row>
    <row r="598" spans="1:30" ht="13" customHeight="1" x14ac:dyDescent="0.35">
      <c r="A598" s="7" t="s">
        <v>32</v>
      </c>
      <c r="B598" s="8" t="s">
        <v>33</v>
      </c>
      <c r="E598" s="8" t="s">
        <v>3280</v>
      </c>
      <c r="F598" s="8" t="s">
        <v>548</v>
      </c>
      <c r="G598" s="8" t="s">
        <v>36</v>
      </c>
      <c r="H598" s="10" t="s">
        <v>223</v>
      </c>
      <c r="I598" s="127" t="s">
        <v>3281</v>
      </c>
      <c r="J598" s="8" t="s">
        <v>39</v>
      </c>
      <c r="K598" s="8" t="s">
        <v>160</v>
      </c>
      <c r="L598" s="223" t="s">
        <v>3282</v>
      </c>
      <c r="M598" s="63" t="s">
        <v>3283</v>
      </c>
      <c r="N598" s="61" t="s">
        <v>3284</v>
      </c>
      <c r="O598" s="11" t="s">
        <v>3285</v>
      </c>
      <c r="P598" s="8" t="s">
        <v>66</v>
      </c>
      <c r="Q598" s="82" t="s">
        <v>820</v>
      </c>
      <c r="R598" s="8"/>
      <c r="U598" s="8"/>
      <c r="V598" s="8"/>
      <c r="W598" s="8"/>
      <c r="Y598" s="13">
        <v>45582</v>
      </c>
      <c r="Z598" s="8" t="s">
        <v>228</v>
      </c>
      <c r="AA598" s="15" t="s">
        <v>3286</v>
      </c>
      <c r="AB598" s="15" t="s">
        <v>3287</v>
      </c>
      <c r="AD598">
        <f t="shared" si="9"/>
        <v>2</v>
      </c>
    </row>
    <row r="599" spans="1:30" ht="13" customHeight="1" x14ac:dyDescent="0.35">
      <c r="A599" s="7" t="s">
        <v>32</v>
      </c>
      <c r="B599" s="8" t="s">
        <v>33</v>
      </c>
      <c r="E599" s="8" t="s">
        <v>3288</v>
      </c>
      <c r="F599" s="8" t="s">
        <v>548</v>
      </c>
      <c r="G599" s="8" t="s">
        <v>336</v>
      </c>
      <c r="H599" s="10" t="s">
        <v>223</v>
      </c>
      <c r="I599" s="127" t="s">
        <v>3289</v>
      </c>
      <c r="J599" s="8" t="s">
        <v>815</v>
      </c>
      <c r="L599" s="223" t="s">
        <v>3290</v>
      </c>
      <c r="M599" s="59" t="s">
        <v>3291</v>
      </c>
      <c r="N599" s="61" t="s">
        <v>3292</v>
      </c>
      <c r="O599" s="11" t="s">
        <v>3293</v>
      </c>
      <c r="Q599" s="82" t="s">
        <v>820</v>
      </c>
      <c r="R599" s="8"/>
      <c r="U599" s="8"/>
      <c r="V599" s="8"/>
      <c r="W599" s="8"/>
      <c r="Y599" s="13">
        <v>45558</v>
      </c>
      <c r="Z599" s="8" t="s">
        <v>228</v>
      </c>
      <c r="AA599" s="15" t="s">
        <v>3294</v>
      </c>
      <c r="AB599" s="12" t="s">
        <v>274</v>
      </c>
      <c r="AD599">
        <f t="shared" si="9"/>
        <v>1</v>
      </c>
    </row>
    <row r="600" spans="1:30" ht="13" customHeight="1" x14ac:dyDescent="0.35">
      <c r="A600" s="7" t="s">
        <v>32</v>
      </c>
      <c r="B600" s="8" t="s">
        <v>33</v>
      </c>
      <c r="E600" s="8" t="s">
        <v>1050</v>
      </c>
      <c r="F600" s="9" t="s">
        <v>548</v>
      </c>
      <c r="G600" s="8" t="s">
        <v>36</v>
      </c>
      <c r="H600" s="10" t="s">
        <v>591</v>
      </c>
      <c r="I600" s="127" t="s">
        <v>63</v>
      </c>
      <c r="J600" s="8" t="s">
        <v>3295</v>
      </c>
      <c r="K600" s="8" t="s">
        <v>160</v>
      </c>
      <c r="L600" s="223" t="s">
        <v>3296</v>
      </c>
      <c r="M600" s="59" t="s">
        <v>3297</v>
      </c>
      <c r="N600" s="61" t="s">
        <v>3298</v>
      </c>
      <c r="O600" s="11" t="s">
        <v>3299</v>
      </c>
      <c r="Q600" s="82" t="s">
        <v>820</v>
      </c>
      <c r="R600" s="8"/>
      <c r="U600" s="8"/>
      <c r="V600" s="8"/>
      <c r="W600" s="8"/>
      <c r="Y600" s="13">
        <v>45550</v>
      </c>
      <c r="Z600" s="8" t="s">
        <v>802</v>
      </c>
      <c r="AA600" s="15" t="s">
        <v>3300</v>
      </c>
      <c r="AB600" s="15" t="s">
        <v>3301</v>
      </c>
      <c r="AD600">
        <f t="shared" si="9"/>
        <v>1</v>
      </c>
    </row>
    <row r="601" spans="1:30" ht="13" customHeight="1" x14ac:dyDescent="0.35">
      <c r="A601" s="7" t="s">
        <v>32</v>
      </c>
      <c r="B601" s="8" t="s">
        <v>33</v>
      </c>
      <c r="E601" s="8" t="s">
        <v>1050</v>
      </c>
      <c r="F601" s="9" t="s">
        <v>548</v>
      </c>
      <c r="G601" s="8" t="s">
        <v>336</v>
      </c>
      <c r="H601" s="10" t="s">
        <v>440</v>
      </c>
      <c r="I601" s="127" t="s">
        <v>3302</v>
      </c>
      <c r="J601" s="8" t="s">
        <v>942</v>
      </c>
      <c r="K601" s="8" t="s">
        <v>160</v>
      </c>
      <c r="L601" s="223" t="s">
        <v>3296</v>
      </c>
      <c r="M601" s="59" t="s">
        <v>3297</v>
      </c>
      <c r="N601" s="61" t="s">
        <v>3298</v>
      </c>
      <c r="O601" s="11" t="s">
        <v>3299</v>
      </c>
      <c r="Q601" s="82" t="s">
        <v>820</v>
      </c>
      <c r="R601" s="8"/>
      <c r="U601" s="8"/>
      <c r="V601" s="8"/>
      <c r="W601" s="8"/>
      <c r="Y601" s="13">
        <v>45610</v>
      </c>
      <c r="Z601" s="8" t="s">
        <v>668</v>
      </c>
      <c r="AA601" s="15" t="s">
        <v>3303</v>
      </c>
      <c r="AB601" s="15" t="s">
        <v>3304</v>
      </c>
      <c r="AD601">
        <f t="shared" si="9"/>
        <v>1</v>
      </c>
    </row>
    <row r="602" spans="1:30" ht="13" customHeight="1" x14ac:dyDescent="0.35">
      <c r="A602" s="7" t="s">
        <v>32</v>
      </c>
      <c r="B602" s="8" t="s">
        <v>70</v>
      </c>
      <c r="D602" s="8" t="s">
        <v>101</v>
      </c>
      <c r="E602" s="34" t="s">
        <v>3305</v>
      </c>
      <c r="F602" s="9" t="s">
        <v>51</v>
      </c>
      <c r="G602" s="34" t="s">
        <v>3306</v>
      </c>
      <c r="H602" s="35"/>
      <c r="I602" s="130" t="s">
        <v>3307</v>
      </c>
      <c r="J602" s="34" t="s">
        <v>106</v>
      </c>
      <c r="K602" s="34"/>
      <c r="L602" s="65" t="s">
        <v>3308</v>
      </c>
      <c r="M602" s="65"/>
      <c r="N602" s="65"/>
      <c r="O602" s="36" t="s">
        <v>3309</v>
      </c>
      <c r="P602" s="34" t="s">
        <v>66</v>
      </c>
      <c r="Q602" s="34" t="s">
        <v>109</v>
      </c>
      <c r="R602" s="34" t="s">
        <v>110</v>
      </c>
      <c r="U602" s="8"/>
      <c r="V602" s="8"/>
      <c r="W602" s="8"/>
      <c r="Y602" s="8"/>
      <c r="AA602" s="15" t="s">
        <v>3310</v>
      </c>
      <c r="AD602" t="str">
        <f t="shared" si="9"/>
        <v/>
      </c>
    </row>
    <row r="603" spans="1:30" ht="13" customHeight="1" x14ac:dyDescent="0.35">
      <c r="A603" s="7" t="s">
        <v>32</v>
      </c>
      <c r="B603" s="8" t="s">
        <v>33</v>
      </c>
      <c r="E603" s="8" t="s">
        <v>1050</v>
      </c>
      <c r="F603" s="8" t="s">
        <v>548</v>
      </c>
      <c r="G603" s="8" t="s">
        <v>36</v>
      </c>
      <c r="H603" s="10" t="s">
        <v>591</v>
      </c>
      <c r="I603" s="127" t="s">
        <v>783</v>
      </c>
      <c r="J603" s="8" t="s">
        <v>3311</v>
      </c>
      <c r="K603" s="8" t="s">
        <v>40</v>
      </c>
      <c r="L603" s="225" t="s">
        <v>3312</v>
      </c>
      <c r="O603" s="11" t="s">
        <v>3299</v>
      </c>
      <c r="Q603" s="82" t="s">
        <v>820</v>
      </c>
      <c r="R603" s="8"/>
      <c r="U603" s="8"/>
      <c r="V603" s="8"/>
      <c r="W603" s="8"/>
      <c r="Y603" s="13">
        <v>45550</v>
      </c>
      <c r="Z603" s="8" t="s">
        <v>802</v>
      </c>
      <c r="AA603" s="15" t="s">
        <v>3313</v>
      </c>
      <c r="AB603" s="15" t="s">
        <v>3314</v>
      </c>
      <c r="AD603" t="str">
        <f t="shared" si="9"/>
        <v/>
      </c>
    </row>
    <row r="604" spans="1:30" ht="13" customHeight="1" x14ac:dyDescent="0.35">
      <c r="A604" s="7" t="s">
        <v>32</v>
      </c>
      <c r="B604" s="8" t="s">
        <v>33</v>
      </c>
      <c r="E604" s="8" t="s">
        <v>3315</v>
      </c>
      <c r="F604" s="8" t="s">
        <v>548</v>
      </c>
      <c r="G604" s="8" t="s">
        <v>336</v>
      </c>
      <c r="H604" s="10" t="s">
        <v>223</v>
      </c>
      <c r="I604" s="127" t="s">
        <v>3316</v>
      </c>
      <c r="J604" s="8" t="s">
        <v>3317</v>
      </c>
      <c r="K604" s="8" t="s">
        <v>160</v>
      </c>
      <c r="L604" s="58" t="s">
        <v>3318</v>
      </c>
      <c r="M604" s="63" t="s">
        <v>3319</v>
      </c>
      <c r="N604" s="61" t="s">
        <v>3320</v>
      </c>
      <c r="O604" s="11" t="s">
        <v>3321</v>
      </c>
      <c r="Q604" s="100" t="s">
        <v>3322</v>
      </c>
      <c r="R604" s="8"/>
      <c r="U604" s="8"/>
      <c r="V604" s="8"/>
      <c r="W604" s="8"/>
      <c r="Y604" s="13">
        <v>45602</v>
      </c>
      <c r="Z604" s="8" t="s">
        <v>668</v>
      </c>
      <c r="AA604" s="15" t="s">
        <v>3323</v>
      </c>
      <c r="AB604" s="15" t="s">
        <v>3324</v>
      </c>
      <c r="AD604">
        <f t="shared" si="9"/>
        <v>2</v>
      </c>
    </row>
    <row r="605" spans="1:30" ht="13" customHeight="1" x14ac:dyDescent="0.35">
      <c r="A605" s="7" t="s">
        <v>32</v>
      </c>
      <c r="B605" s="8" t="s">
        <v>33</v>
      </c>
      <c r="E605" s="8" t="s">
        <v>3325</v>
      </c>
      <c r="F605" s="8" t="s">
        <v>548</v>
      </c>
      <c r="G605" s="8" t="s">
        <v>36</v>
      </c>
      <c r="H605" s="10" t="s">
        <v>223</v>
      </c>
      <c r="I605" s="127" t="s">
        <v>3326</v>
      </c>
      <c r="J605" s="8" t="s">
        <v>3327</v>
      </c>
      <c r="K605" s="8" t="s">
        <v>40</v>
      </c>
      <c r="L605" s="58" t="s">
        <v>3328</v>
      </c>
      <c r="M605" s="63" t="s">
        <v>3329</v>
      </c>
      <c r="N605" s="61" t="s">
        <v>3330</v>
      </c>
      <c r="O605" s="11" t="s">
        <v>3331</v>
      </c>
      <c r="Q605" s="82" t="s">
        <v>3332</v>
      </c>
      <c r="R605" s="8"/>
      <c r="U605" s="8"/>
      <c r="V605" s="8"/>
      <c r="W605" s="8"/>
      <c r="Y605" s="13">
        <v>45558</v>
      </c>
      <c r="AA605" s="15" t="s">
        <v>3333</v>
      </c>
      <c r="AB605" s="15" t="s">
        <v>3334</v>
      </c>
      <c r="AD605">
        <f t="shared" si="9"/>
        <v>2</v>
      </c>
    </row>
    <row r="606" spans="1:30" ht="13" customHeight="1" x14ac:dyDescent="0.35">
      <c r="A606" s="7" t="s">
        <v>32</v>
      </c>
      <c r="B606" s="8" t="s">
        <v>48</v>
      </c>
      <c r="D606" s="8" t="s">
        <v>49</v>
      </c>
      <c r="E606" s="38" t="s">
        <v>3335</v>
      </c>
      <c r="F606" s="9" t="s">
        <v>235</v>
      </c>
      <c r="G606" s="8" t="s">
        <v>174</v>
      </c>
      <c r="I606" s="219" t="s">
        <v>3336</v>
      </c>
      <c r="J606" s="16" t="s">
        <v>54</v>
      </c>
      <c r="K606" s="8" t="s">
        <v>55</v>
      </c>
      <c r="L606" s="143" t="s">
        <v>3337</v>
      </c>
      <c r="M606" s="143" t="s">
        <v>2232</v>
      </c>
      <c r="N606" s="143"/>
      <c r="O606" s="80" t="s">
        <v>3338</v>
      </c>
      <c r="P606" s="38" t="s">
        <v>66</v>
      </c>
      <c r="Q606" s="38" t="s">
        <v>190</v>
      </c>
      <c r="R606" s="16" t="s">
        <v>118</v>
      </c>
      <c r="U606" s="8"/>
      <c r="V606" s="8"/>
      <c r="W606" s="8"/>
      <c r="Y606" s="8"/>
      <c r="AA606" s="15" t="s">
        <v>3339</v>
      </c>
      <c r="AD606">
        <f t="shared" si="9"/>
        <v>1</v>
      </c>
    </row>
    <row r="607" spans="1:30" ht="13" customHeight="1" x14ac:dyDescent="0.35">
      <c r="A607" s="7" t="s">
        <v>32</v>
      </c>
      <c r="B607" s="8" t="s">
        <v>48</v>
      </c>
      <c r="D607" s="8" t="s">
        <v>172</v>
      </c>
      <c r="E607" s="226" t="s">
        <v>3340</v>
      </c>
      <c r="F607" s="9" t="s">
        <v>235</v>
      </c>
      <c r="G607" s="34" t="s">
        <v>1498</v>
      </c>
      <c r="H607" s="35"/>
      <c r="I607" s="227" t="s">
        <v>3341</v>
      </c>
      <c r="J607" s="34" t="s">
        <v>176</v>
      </c>
      <c r="K607" s="34"/>
      <c r="L607" s="166" t="s">
        <v>3342</v>
      </c>
      <c r="M607" s="65" t="s">
        <v>238</v>
      </c>
      <c r="N607" s="65"/>
      <c r="O607" s="36" t="s">
        <v>3343</v>
      </c>
      <c r="P607" s="34" t="s">
        <v>66</v>
      </c>
      <c r="Q607" s="34" t="s">
        <v>67</v>
      </c>
      <c r="R607" s="34" t="s">
        <v>118</v>
      </c>
      <c r="U607" s="8"/>
      <c r="V607" s="8"/>
      <c r="W607" s="8"/>
      <c r="Y607" s="8"/>
      <c r="AA607" s="15" t="s">
        <v>3344</v>
      </c>
      <c r="AD607">
        <f t="shared" si="9"/>
        <v>1</v>
      </c>
    </row>
    <row r="608" spans="1:30" ht="13" customHeight="1" x14ac:dyDescent="0.35">
      <c r="A608" s="7" t="s">
        <v>69</v>
      </c>
      <c r="B608" s="8" t="s">
        <v>879</v>
      </c>
      <c r="C608" s="224" t="s">
        <v>880</v>
      </c>
      <c r="D608" s="8" t="s">
        <v>3345</v>
      </c>
      <c r="E608" s="29" t="s">
        <v>3346</v>
      </c>
      <c r="F608" s="9" t="s">
        <v>548</v>
      </c>
      <c r="H608" s="10" t="s">
        <v>882</v>
      </c>
      <c r="I608" s="127" t="s">
        <v>3347</v>
      </c>
      <c r="L608" s="61" t="s">
        <v>3348</v>
      </c>
      <c r="M608" s="61" t="s">
        <v>3349</v>
      </c>
      <c r="N608" s="61" t="s">
        <v>3350</v>
      </c>
      <c r="O608" s="31" t="s">
        <v>3351</v>
      </c>
      <c r="Q608" s="84" t="s">
        <v>3352</v>
      </c>
      <c r="Z608" s="8" t="s">
        <v>3353</v>
      </c>
      <c r="AA608" s="15" t="s">
        <v>3354</v>
      </c>
      <c r="AB608" s="15" t="s">
        <v>3355</v>
      </c>
      <c r="AD608">
        <f t="shared" si="9"/>
        <v>1</v>
      </c>
    </row>
    <row r="609" spans="1:30" ht="13" customHeight="1" x14ac:dyDescent="0.35">
      <c r="A609" s="7" t="s">
        <v>32</v>
      </c>
      <c r="B609" s="8" t="s">
        <v>33</v>
      </c>
      <c r="E609" s="8" t="s">
        <v>3356</v>
      </c>
      <c r="F609" s="9" t="s">
        <v>548</v>
      </c>
      <c r="G609" s="8" t="s">
        <v>336</v>
      </c>
      <c r="H609" s="10" t="s">
        <v>223</v>
      </c>
      <c r="I609" s="127" t="s">
        <v>3357</v>
      </c>
      <c r="J609" s="8" t="s">
        <v>815</v>
      </c>
      <c r="L609" s="223" t="s">
        <v>3358</v>
      </c>
      <c r="M609" s="60" t="s">
        <v>3359</v>
      </c>
      <c r="N609" s="61" t="s">
        <v>3360</v>
      </c>
      <c r="O609" s="11" t="s">
        <v>3361</v>
      </c>
      <c r="Q609" s="82" t="s">
        <v>820</v>
      </c>
      <c r="R609" s="8"/>
      <c r="U609" s="8"/>
      <c r="V609" s="8"/>
      <c r="W609" s="8"/>
      <c r="Y609" s="13">
        <v>45558</v>
      </c>
      <c r="Z609" s="8" t="s">
        <v>228</v>
      </c>
      <c r="AA609" s="15" t="s">
        <v>3362</v>
      </c>
      <c r="AD609">
        <f t="shared" si="9"/>
        <v>1</v>
      </c>
    </row>
    <row r="610" spans="1:30" ht="13" customHeight="1" x14ac:dyDescent="0.35">
      <c r="A610" s="7" t="s">
        <v>32</v>
      </c>
      <c r="B610" s="8" t="s">
        <v>33</v>
      </c>
      <c r="E610" s="8" t="s">
        <v>3363</v>
      </c>
      <c r="F610" s="8" t="s">
        <v>548</v>
      </c>
      <c r="G610" s="8" t="s">
        <v>336</v>
      </c>
      <c r="H610" s="10" t="s">
        <v>223</v>
      </c>
      <c r="I610" s="127" t="s">
        <v>3364</v>
      </c>
      <c r="J610" s="8" t="s">
        <v>987</v>
      </c>
      <c r="K610" s="8" t="s">
        <v>160</v>
      </c>
      <c r="L610" s="223" t="s">
        <v>3365</v>
      </c>
      <c r="M610" s="63" t="s">
        <v>3366</v>
      </c>
      <c r="N610" s="61" t="s">
        <v>3367</v>
      </c>
      <c r="O610" s="11" t="s">
        <v>3368</v>
      </c>
      <c r="Q610" s="8"/>
      <c r="R610" s="8"/>
      <c r="U610" s="8"/>
      <c r="V610" s="8"/>
      <c r="W610" s="8"/>
      <c r="Y610" s="13">
        <v>45595</v>
      </c>
      <c r="AA610" s="15" t="s">
        <v>3369</v>
      </c>
      <c r="AB610" s="15" t="s">
        <v>3370</v>
      </c>
      <c r="AD610">
        <f t="shared" si="9"/>
        <v>4</v>
      </c>
    </row>
    <row r="611" spans="1:30" ht="13" customHeight="1" x14ac:dyDescent="0.35">
      <c r="A611" s="7" t="s">
        <v>32</v>
      </c>
      <c r="B611" s="8" t="s">
        <v>33</v>
      </c>
      <c r="E611" s="29" t="s">
        <v>3371</v>
      </c>
      <c r="F611" s="9" t="s">
        <v>548</v>
      </c>
      <c r="G611" s="8" t="s">
        <v>336</v>
      </c>
      <c r="H611" s="10" t="s">
        <v>3127</v>
      </c>
      <c r="I611" s="195" t="s">
        <v>3372</v>
      </c>
      <c r="J611" s="8" t="s">
        <v>3373</v>
      </c>
      <c r="K611" s="8" t="s">
        <v>40</v>
      </c>
      <c r="L611" s="61" t="s">
        <v>3374</v>
      </c>
      <c r="M611" s="61" t="s">
        <v>3375</v>
      </c>
      <c r="N611" s="61" t="s">
        <v>579</v>
      </c>
      <c r="O611" s="31" t="s">
        <v>3376</v>
      </c>
      <c r="Y611" s="13">
        <v>45689</v>
      </c>
      <c r="Z611" s="8" t="s">
        <v>668</v>
      </c>
      <c r="AA611" s="15" t="s">
        <v>3377</v>
      </c>
      <c r="AB611" s="15" t="s">
        <v>3378</v>
      </c>
      <c r="AD611">
        <f t="shared" si="9"/>
        <v>3</v>
      </c>
    </row>
    <row r="612" spans="1:30" ht="13" customHeight="1" x14ac:dyDescent="0.35">
      <c r="A612" s="7" t="s">
        <v>32</v>
      </c>
      <c r="B612" s="8" t="s">
        <v>33</v>
      </c>
      <c r="E612" s="29" t="s">
        <v>3379</v>
      </c>
      <c r="F612" s="9" t="s">
        <v>548</v>
      </c>
      <c r="G612" s="8" t="s">
        <v>336</v>
      </c>
      <c r="H612" s="10" t="s">
        <v>3127</v>
      </c>
      <c r="I612" s="195" t="s">
        <v>3380</v>
      </c>
      <c r="J612" s="8" t="s">
        <v>1365</v>
      </c>
      <c r="K612" s="8" t="s">
        <v>40</v>
      </c>
      <c r="L612" s="61" t="s">
        <v>3374</v>
      </c>
      <c r="M612" s="61" t="s">
        <v>3381</v>
      </c>
      <c r="N612" s="61" t="s">
        <v>579</v>
      </c>
      <c r="O612" s="31" t="s">
        <v>3376</v>
      </c>
      <c r="Y612" s="13">
        <v>45689</v>
      </c>
      <c r="Z612" s="8" t="s">
        <v>668</v>
      </c>
      <c r="AA612" s="15" t="s">
        <v>3382</v>
      </c>
      <c r="AB612" s="15" t="s">
        <v>3383</v>
      </c>
      <c r="AD612">
        <f t="shared" si="9"/>
        <v>2</v>
      </c>
    </row>
    <row r="613" spans="1:30" ht="13" customHeight="1" x14ac:dyDescent="0.35">
      <c r="A613" s="7" t="s">
        <v>32</v>
      </c>
      <c r="B613" s="8" t="s">
        <v>438</v>
      </c>
      <c r="E613" s="8" t="s">
        <v>3384</v>
      </c>
      <c r="F613" s="9" t="s">
        <v>548</v>
      </c>
      <c r="G613" s="8" t="s">
        <v>336</v>
      </c>
      <c r="H613" s="10" t="s">
        <v>440</v>
      </c>
      <c r="I613" s="127" t="s">
        <v>3385</v>
      </c>
      <c r="J613" s="8" t="s">
        <v>3386</v>
      </c>
      <c r="K613" s="8" t="s">
        <v>40</v>
      </c>
      <c r="L613" s="63" t="s">
        <v>3387</v>
      </c>
      <c r="M613" s="63" t="s">
        <v>3388</v>
      </c>
      <c r="N613" s="61" t="s">
        <v>3389</v>
      </c>
      <c r="O613" s="11" t="s">
        <v>3390</v>
      </c>
      <c r="Q613" s="100" t="s">
        <v>3391</v>
      </c>
      <c r="R613" s="8"/>
      <c r="U613" s="8"/>
      <c r="V613" s="8"/>
      <c r="W613" s="8"/>
      <c r="Y613" s="13">
        <v>45610</v>
      </c>
      <c r="Z613" s="8" t="s">
        <v>802</v>
      </c>
      <c r="AA613" s="15" t="s">
        <v>3392</v>
      </c>
      <c r="AB613" s="15" t="s">
        <v>3393</v>
      </c>
      <c r="AD613">
        <f t="shared" si="9"/>
        <v>4</v>
      </c>
    </row>
    <row r="614" spans="1:30" ht="13" customHeight="1" x14ac:dyDescent="0.35">
      <c r="A614" s="7" t="s">
        <v>32</v>
      </c>
      <c r="B614" s="8" t="s">
        <v>438</v>
      </c>
      <c r="E614" s="8" t="s">
        <v>3394</v>
      </c>
      <c r="F614" s="9" t="s">
        <v>548</v>
      </c>
      <c r="G614" s="8" t="s">
        <v>336</v>
      </c>
      <c r="H614" s="10" t="s">
        <v>440</v>
      </c>
      <c r="I614" s="127" t="s">
        <v>3395</v>
      </c>
      <c r="J614" s="8" t="s">
        <v>1235</v>
      </c>
      <c r="K614" s="8" t="s">
        <v>40</v>
      </c>
      <c r="L614" s="63" t="s">
        <v>3387</v>
      </c>
      <c r="M614" s="63" t="s">
        <v>3388</v>
      </c>
      <c r="N614" s="61" t="s">
        <v>3389</v>
      </c>
      <c r="O614" s="11" t="s">
        <v>3390</v>
      </c>
      <c r="Q614" s="100" t="s">
        <v>3391</v>
      </c>
      <c r="R614" s="8"/>
      <c r="U614" s="8"/>
      <c r="V614" s="8"/>
      <c r="W614" s="8"/>
      <c r="Y614" s="13">
        <v>45610</v>
      </c>
      <c r="Z614" s="8" t="s">
        <v>802</v>
      </c>
      <c r="AA614" s="15" t="s">
        <v>3396</v>
      </c>
      <c r="AB614" s="15" t="s">
        <v>3397</v>
      </c>
      <c r="AD614">
        <f t="shared" si="9"/>
        <v>4</v>
      </c>
    </row>
    <row r="615" spans="1:30" ht="13" customHeight="1" x14ac:dyDescent="0.35">
      <c r="A615" s="7" t="s">
        <v>69</v>
      </c>
      <c r="B615" s="8" t="s">
        <v>33</v>
      </c>
      <c r="C615" s="224" t="s">
        <v>799</v>
      </c>
      <c r="D615" s="8" t="s">
        <v>3345</v>
      </c>
      <c r="E615" s="29" t="s">
        <v>3346</v>
      </c>
      <c r="F615" s="9" t="s">
        <v>548</v>
      </c>
      <c r="H615" s="10" t="s">
        <v>882</v>
      </c>
      <c r="I615" s="127" t="s">
        <v>3347</v>
      </c>
      <c r="L615" s="61" t="s">
        <v>3348</v>
      </c>
      <c r="M615" s="61" t="s">
        <v>3349</v>
      </c>
      <c r="N615" s="61" t="s">
        <v>3350</v>
      </c>
      <c r="O615" s="31" t="s">
        <v>3351</v>
      </c>
      <c r="Q615" s="84" t="s">
        <v>3352</v>
      </c>
      <c r="Z615" s="8" t="s">
        <v>3353</v>
      </c>
      <c r="AA615" s="15" t="s">
        <v>3398</v>
      </c>
      <c r="AB615" s="15" t="s">
        <v>3355</v>
      </c>
      <c r="AD615">
        <f t="shared" si="9"/>
        <v>1</v>
      </c>
    </row>
    <row r="616" spans="1:30" ht="13" customHeight="1" x14ac:dyDescent="0.35">
      <c r="A616" s="7" t="s">
        <v>69</v>
      </c>
      <c r="B616" s="8" t="s">
        <v>879</v>
      </c>
      <c r="C616" s="224" t="s">
        <v>880</v>
      </c>
      <c r="E616" s="29" t="s">
        <v>3399</v>
      </c>
      <c r="F616" s="9" t="s">
        <v>2425</v>
      </c>
      <c r="H616" s="10" t="s">
        <v>882</v>
      </c>
      <c r="L616" s="61"/>
      <c r="M616" s="61" t="s">
        <v>3400</v>
      </c>
      <c r="N616" s="61" t="s">
        <v>3401</v>
      </c>
      <c r="O616" s="31" t="s">
        <v>3402</v>
      </c>
      <c r="P616" s="8" t="s">
        <v>2545</v>
      </c>
      <c r="Q616" s="84" t="s">
        <v>3403</v>
      </c>
      <c r="AA616" s="15" t="s">
        <v>3404</v>
      </c>
      <c r="AB616" s="15" t="s">
        <v>3405</v>
      </c>
      <c r="AD616">
        <f t="shared" si="9"/>
        <v>2</v>
      </c>
    </row>
    <row r="617" spans="1:30" ht="13" customHeight="1" x14ac:dyDescent="0.35">
      <c r="A617" s="7" t="s">
        <v>32</v>
      </c>
      <c r="B617" s="8" t="s">
        <v>33</v>
      </c>
      <c r="E617" s="29" t="s">
        <v>3406</v>
      </c>
      <c r="F617" s="9" t="s">
        <v>548</v>
      </c>
      <c r="G617" s="8" t="s">
        <v>336</v>
      </c>
      <c r="H617" s="10" t="s">
        <v>193</v>
      </c>
      <c r="I617" s="195" t="s">
        <v>2814</v>
      </c>
      <c r="J617" s="8" t="s">
        <v>2814</v>
      </c>
      <c r="K617" s="8" t="s">
        <v>160</v>
      </c>
      <c r="L617" s="61" t="s">
        <v>3407</v>
      </c>
      <c r="M617" s="61" t="s">
        <v>3408</v>
      </c>
      <c r="N617" s="61" t="s">
        <v>3409</v>
      </c>
      <c r="O617" s="31" t="s">
        <v>3410</v>
      </c>
      <c r="P617" s="8" t="s">
        <v>58</v>
      </c>
      <c r="Q617" s="84" t="s">
        <v>820</v>
      </c>
      <c r="Y617" s="13">
        <v>45583</v>
      </c>
      <c r="AA617" s="15" t="s">
        <v>3411</v>
      </c>
      <c r="AB617" s="15" t="s">
        <v>3412</v>
      </c>
      <c r="AD617">
        <f t="shared" si="9"/>
        <v>1</v>
      </c>
    </row>
    <row r="618" spans="1:30" ht="13" customHeight="1" x14ac:dyDescent="0.35">
      <c r="A618" s="7" t="s">
        <v>32</v>
      </c>
      <c r="B618" s="8" t="s">
        <v>70</v>
      </c>
      <c r="D618" s="8" t="s">
        <v>120</v>
      </c>
      <c r="E618" s="9" t="s">
        <v>3413</v>
      </c>
      <c r="F618" s="9" t="s">
        <v>235</v>
      </c>
      <c r="G618" s="8" t="s">
        <v>130</v>
      </c>
      <c r="I618" s="145" t="s">
        <v>3414</v>
      </c>
      <c r="J618" s="9" t="s">
        <v>123</v>
      </c>
      <c r="K618" s="9" t="s">
        <v>55</v>
      </c>
      <c r="L618" s="166" t="s">
        <v>3415</v>
      </c>
      <c r="M618" s="138" t="s">
        <v>238</v>
      </c>
      <c r="N618" s="138"/>
      <c r="O618" s="44" t="s">
        <v>3416</v>
      </c>
      <c r="P618" s="9" t="s">
        <v>66</v>
      </c>
      <c r="Q618" s="9" t="s">
        <v>67</v>
      </c>
      <c r="R618" s="9" t="s">
        <v>118</v>
      </c>
      <c r="U618" s="8"/>
      <c r="V618" s="8"/>
      <c r="W618" s="8"/>
      <c r="Y618" s="8"/>
      <c r="AA618" s="15" t="s">
        <v>3417</v>
      </c>
      <c r="AD618">
        <f t="shared" si="9"/>
        <v>1</v>
      </c>
    </row>
    <row r="619" spans="1:30" ht="13" customHeight="1" x14ac:dyDescent="0.35">
      <c r="A619" s="7" t="s">
        <v>32</v>
      </c>
      <c r="B619" s="8" t="s">
        <v>33</v>
      </c>
      <c r="E619" s="8" t="s">
        <v>3418</v>
      </c>
      <c r="F619" s="8" t="s">
        <v>548</v>
      </c>
      <c r="G619" s="8" t="s">
        <v>36</v>
      </c>
      <c r="H619" s="10" t="s">
        <v>193</v>
      </c>
      <c r="I619" s="127" t="s">
        <v>3419</v>
      </c>
      <c r="J619" s="8" t="s">
        <v>432</v>
      </c>
      <c r="K619" s="8" t="s">
        <v>40</v>
      </c>
      <c r="L619" s="223" t="s">
        <v>3420</v>
      </c>
      <c r="M619" s="59" t="s">
        <v>3421</v>
      </c>
      <c r="N619" s="61" t="s">
        <v>3422</v>
      </c>
      <c r="O619" s="11" t="s">
        <v>3423</v>
      </c>
      <c r="P619" s="8" t="s">
        <v>58</v>
      </c>
      <c r="Q619" s="82" t="s">
        <v>820</v>
      </c>
      <c r="R619" s="8"/>
      <c r="U619" s="8"/>
      <c r="V619" s="8"/>
      <c r="W619" s="8"/>
      <c r="Y619" s="13">
        <v>45583</v>
      </c>
      <c r="Z619" s="8" t="s">
        <v>228</v>
      </c>
      <c r="AA619" s="15" t="s">
        <v>3424</v>
      </c>
      <c r="AB619" s="15" t="s">
        <v>3425</v>
      </c>
      <c r="AD619">
        <f t="shared" si="9"/>
        <v>1</v>
      </c>
    </row>
    <row r="620" spans="1:30" ht="13" customHeight="1" x14ac:dyDescent="0.35">
      <c r="A620" s="7" t="s">
        <v>32</v>
      </c>
      <c r="B620" s="8" t="s">
        <v>33</v>
      </c>
      <c r="E620" s="8" t="s">
        <v>3426</v>
      </c>
      <c r="F620" s="8" t="s">
        <v>548</v>
      </c>
      <c r="G620" s="8" t="s">
        <v>36</v>
      </c>
      <c r="H620" s="10" t="s">
        <v>223</v>
      </c>
      <c r="I620" s="127" t="s">
        <v>3427</v>
      </c>
      <c r="J620" s="8" t="s">
        <v>3317</v>
      </c>
      <c r="K620" s="8" t="s">
        <v>160</v>
      </c>
      <c r="L620" s="223" t="s">
        <v>3428</v>
      </c>
      <c r="M620" s="63" t="s">
        <v>3429</v>
      </c>
      <c r="N620" s="63" t="s">
        <v>3430</v>
      </c>
      <c r="O620" s="11" t="s">
        <v>3431</v>
      </c>
      <c r="Q620" s="8"/>
      <c r="R620" s="8"/>
      <c r="U620" s="8"/>
      <c r="V620" s="8"/>
      <c r="W620" s="8"/>
      <c r="Y620" s="13">
        <v>45608</v>
      </c>
      <c r="Z620" s="8" t="s">
        <v>228</v>
      </c>
      <c r="AA620" s="15" t="s">
        <v>3432</v>
      </c>
      <c r="AB620" s="15" t="s">
        <v>3433</v>
      </c>
      <c r="AD620">
        <f t="shared" si="9"/>
        <v>2</v>
      </c>
    </row>
    <row r="621" spans="1:30" ht="13" customHeight="1" x14ac:dyDescent="0.35">
      <c r="A621" s="7" t="s">
        <v>32</v>
      </c>
      <c r="B621" s="8" t="s">
        <v>70</v>
      </c>
      <c r="D621" s="8" t="s">
        <v>120</v>
      </c>
      <c r="E621" s="34" t="s">
        <v>3434</v>
      </c>
      <c r="F621" s="9" t="s">
        <v>51</v>
      </c>
      <c r="G621" s="34" t="s">
        <v>1903</v>
      </c>
      <c r="H621" s="35"/>
      <c r="I621" s="130" t="s">
        <v>3435</v>
      </c>
      <c r="J621" s="34" t="s">
        <v>123</v>
      </c>
      <c r="K621" s="34"/>
      <c r="L621" s="65" t="s">
        <v>2823</v>
      </c>
      <c r="M621" s="65"/>
      <c r="N621" s="65"/>
      <c r="O621" s="36" t="s">
        <v>3436</v>
      </c>
      <c r="P621" s="34" t="s">
        <v>66</v>
      </c>
      <c r="Q621" s="34" t="s">
        <v>3437</v>
      </c>
      <c r="R621" s="34" t="s">
        <v>118</v>
      </c>
      <c r="U621" s="8"/>
      <c r="V621" s="8"/>
      <c r="W621" s="8"/>
      <c r="Y621" s="8"/>
      <c r="AA621" s="15" t="s">
        <v>3438</v>
      </c>
      <c r="AD621" t="str">
        <f t="shared" si="9"/>
        <v/>
      </c>
    </row>
    <row r="622" spans="1:30" ht="13" customHeight="1" x14ac:dyDescent="0.35">
      <c r="A622" s="7" t="s">
        <v>69</v>
      </c>
      <c r="B622" s="8" t="s">
        <v>48</v>
      </c>
      <c r="D622" s="8" t="s">
        <v>3439</v>
      </c>
      <c r="E622" s="29" t="s">
        <v>3440</v>
      </c>
      <c r="F622" s="9" t="s">
        <v>73</v>
      </c>
      <c r="I622" s="156" t="s">
        <v>3441</v>
      </c>
      <c r="L622" s="135" t="s">
        <v>3442</v>
      </c>
      <c r="M622" s="135" t="s">
        <v>3006</v>
      </c>
      <c r="N622" s="135" t="s">
        <v>3443</v>
      </c>
      <c r="O622" s="31" t="s">
        <v>3444</v>
      </c>
      <c r="R622" s="29" t="s">
        <v>88</v>
      </c>
      <c r="S622" s="137" t="s">
        <v>2432</v>
      </c>
      <c r="T622" s="137" t="s">
        <v>3445</v>
      </c>
      <c r="U622" s="29" t="s">
        <v>3446</v>
      </c>
      <c r="X622" s="137" t="s">
        <v>3447</v>
      </c>
      <c r="Y622" s="8"/>
      <c r="AA622" s="15" t="s">
        <v>3448</v>
      </c>
      <c r="AD622">
        <f t="shared" si="9"/>
        <v>2</v>
      </c>
    </row>
    <row r="623" spans="1:30" ht="13" customHeight="1" x14ac:dyDescent="0.35">
      <c r="A623" s="7" t="s">
        <v>32</v>
      </c>
      <c r="B623" s="8" t="s">
        <v>33</v>
      </c>
      <c r="E623" s="8" t="s">
        <v>3449</v>
      </c>
      <c r="F623" s="8" t="s">
        <v>548</v>
      </c>
      <c r="G623" s="8" t="s">
        <v>36</v>
      </c>
      <c r="H623" s="10" t="s">
        <v>223</v>
      </c>
      <c r="I623" s="127" t="s">
        <v>3450</v>
      </c>
      <c r="J623" s="8" t="s">
        <v>3317</v>
      </c>
      <c r="K623" s="8" t="s">
        <v>160</v>
      </c>
      <c r="L623" s="223" t="s">
        <v>3428</v>
      </c>
      <c r="M623" s="63" t="s">
        <v>3451</v>
      </c>
      <c r="N623" s="59" t="s">
        <v>3452</v>
      </c>
      <c r="O623" s="11" t="s">
        <v>3431</v>
      </c>
      <c r="Q623" s="8"/>
      <c r="R623" s="8"/>
      <c r="U623" s="8"/>
      <c r="V623" s="8"/>
      <c r="W623" s="8"/>
      <c r="Y623" s="13">
        <v>45608</v>
      </c>
      <c r="Z623" s="8" t="s">
        <v>228</v>
      </c>
      <c r="AA623" s="15" t="s">
        <v>3453</v>
      </c>
      <c r="AB623" s="15" t="s">
        <v>3454</v>
      </c>
      <c r="AD623">
        <f t="shared" si="9"/>
        <v>3</v>
      </c>
    </row>
    <row r="624" spans="1:30" ht="13" customHeight="1" x14ac:dyDescent="0.35">
      <c r="A624" s="7" t="s">
        <v>32</v>
      </c>
      <c r="B624" s="8" t="s">
        <v>33</v>
      </c>
      <c r="E624" s="8" t="s">
        <v>3455</v>
      </c>
      <c r="F624" s="8" t="s">
        <v>548</v>
      </c>
      <c r="G624" s="8" t="s">
        <v>36</v>
      </c>
      <c r="H624" s="10" t="s">
        <v>223</v>
      </c>
      <c r="I624" s="127" t="s">
        <v>3456</v>
      </c>
      <c r="J624" s="8" t="s">
        <v>39</v>
      </c>
      <c r="K624" s="8" t="s">
        <v>160</v>
      </c>
      <c r="L624" s="58" t="s">
        <v>3457</v>
      </c>
      <c r="M624" s="63" t="s">
        <v>3458</v>
      </c>
      <c r="N624" s="63" t="s">
        <v>3459</v>
      </c>
      <c r="O624" s="11" t="s">
        <v>3460</v>
      </c>
      <c r="Q624" s="8"/>
      <c r="R624" s="8"/>
      <c r="U624" s="8"/>
      <c r="V624" s="8"/>
      <c r="W624" s="8"/>
      <c r="Y624" s="13">
        <v>45558</v>
      </c>
      <c r="Z624" s="8" t="s">
        <v>228</v>
      </c>
      <c r="AA624" s="15" t="s">
        <v>3461</v>
      </c>
      <c r="AD624">
        <f t="shared" si="9"/>
        <v>3</v>
      </c>
    </row>
    <row r="625" spans="1:30" ht="13" customHeight="1" x14ac:dyDescent="0.35">
      <c r="A625" s="7" t="s">
        <v>32</v>
      </c>
      <c r="B625" s="8" t="s">
        <v>33</v>
      </c>
      <c r="E625" s="8" t="s">
        <v>3462</v>
      </c>
      <c r="F625" s="8" t="s">
        <v>548</v>
      </c>
      <c r="G625" s="8" t="s">
        <v>336</v>
      </c>
      <c r="H625" s="10" t="s">
        <v>223</v>
      </c>
      <c r="I625" s="127" t="s">
        <v>3463</v>
      </c>
      <c r="J625" s="8" t="s">
        <v>39</v>
      </c>
      <c r="K625" s="8" t="s">
        <v>160</v>
      </c>
      <c r="L625" s="58" t="s">
        <v>3457</v>
      </c>
      <c r="M625" s="63" t="s">
        <v>3458</v>
      </c>
      <c r="N625" s="63" t="s">
        <v>3459</v>
      </c>
      <c r="O625" s="11" t="s">
        <v>3464</v>
      </c>
      <c r="Q625" s="8"/>
      <c r="R625" s="8"/>
      <c r="U625" s="8"/>
      <c r="V625" s="8"/>
      <c r="W625" s="8"/>
      <c r="Y625" s="13">
        <v>45558</v>
      </c>
      <c r="Z625" s="8" t="s">
        <v>228</v>
      </c>
      <c r="AA625" s="15" t="s">
        <v>3465</v>
      </c>
      <c r="AD625">
        <f t="shared" si="9"/>
        <v>3</v>
      </c>
    </row>
    <row r="626" spans="1:30" ht="13" customHeight="1" x14ac:dyDescent="0.35">
      <c r="A626" s="120" t="s">
        <v>32</v>
      </c>
      <c r="B626" s="121" t="s">
        <v>33</v>
      </c>
      <c r="C626" s="121"/>
      <c r="D626" s="121"/>
      <c r="E626" s="121" t="s">
        <v>3466</v>
      </c>
      <c r="F626" s="121" t="s">
        <v>548</v>
      </c>
      <c r="G626" s="121" t="s">
        <v>336</v>
      </c>
      <c r="H626" s="123" t="s">
        <v>591</v>
      </c>
      <c r="I626" s="127" t="s">
        <v>3467</v>
      </c>
      <c r="J626" s="121" t="s">
        <v>432</v>
      </c>
      <c r="K626" s="121" t="s">
        <v>40</v>
      </c>
      <c r="L626" s="223" t="s">
        <v>3468</v>
      </c>
      <c r="M626" s="63" t="s">
        <v>3469</v>
      </c>
      <c r="N626" s="61" t="s">
        <v>3470</v>
      </c>
      <c r="O626" s="124" t="s">
        <v>3471</v>
      </c>
      <c r="P626" s="121"/>
      <c r="Q626" s="228" t="s">
        <v>820</v>
      </c>
      <c r="R626" s="121"/>
      <c r="U626" s="121"/>
      <c r="V626" s="121"/>
      <c r="W626" s="121"/>
      <c r="Y626" s="196">
        <v>45505</v>
      </c>
      <c r="Z626" s="121" t="s">
        <v>228</v>
      </c>
      <c r="AA626" s="187" t="s">
        <v>3472</v>
      </c>
      <c r="AB626" s="187" t="s">
        <v>3473</v>
      </c>
      <c r="AD626">
        <f t="shared" si="9"/>
        <v>2</v>
      </c>
    </row>
    <row r="627" spans="1:30" ht="13" customHeight="1" x14ac:dyDescent="0.35">
      <c r="A627" s="120" t="s">
        <v>32</v>
      </c>
      <c r="B627" s="121" t="s">
        <v>33</v>
      </c>
      <c r="C627" s="121"/>
      <c r="D627" s="121"/>
      <c r="E627" s="121" t="s">
        <v>2294</v>
      </c>
      <c r="F627" s="122" t="s">
        <v>548</v>
      </c>
      <c r="G627" s="121" t="s">
        <v>336</v>
      </c>
      <c r="H627" s="123" t="s">
        <v>223</v>
      </c>
      <c r="I627" s="127" t="s">
        <v>3474</v>
      </c>
      <c r="J627" s="121" t="s">
        <v>3327</v>
      </c>
      <c r="K627" s="121" t="s">
        <v>40</v>
      </c>
      <c r="L627" s="217" t="s">
        <v>3475</v>
      </c>
      <c r="M627" s="61" t="s">
        <v>3476</v>
      </c>
      <c r="N627" s="61" t="s">
        <v>3477</v>
      </c>
      <c r="O627" s="124" t="s">
        <v>3478</v>
      </c>
      <c r="P627" s="121"/>
      <c r="Q627" s="147" t="s">
        <v>3479</v>
      </c>
      <c r="R627" s="121"/>
      <c r="U627" s="121"/>
      <c r="V627" s="121"/>
      <c r="W627" s="121"/>
      <c r="Y627" s="196">
        <v>45558</v>
      </c>
      <c r="Z627" s="121" t="s">
        <v>228</v>
      </c>
      <c r="AA627" s="187" t="s">
        <v>3480</v>
      </c>
      <c r="AB627" s="187" t="s">
        <v>3481</v>
      </c>
      <c r="AD627">
        <f t="shared" si="9"/>
        <v>2</v>
      </c>
    </row>
    <row r="628" spans="1:30" ht="13" customHeight="1" x14ac:dyDescent="0.35">
      <c r="A628" s="120" t="s">
        <v>69</v>
      </c>
      <c r="B628" s="121" t="s">
        <v>879</v>
      </c>
      <c r="C628" s="121" t="s">
        <v>880</v>
      </c>
      <c r="D628" s="121"/>
      <c r="E628" s="132" t="s">
        <v>3482</v>
      </c>
      <c r="F628" s="122" t="s">
        <v>136</v>
      </c>
      <c r="G628" s="121"/>
      <c r="H628" s="123" t="s">
        <v>882</v>
      </c>
      <c r="J628" s="121"/>
      <c r="K628" s="121"/>
      <c r="L628" s="61" t="s">
        <v>3483</v>
      </c>
      <c r="M628" s="61" t="s">
        <v>552</v>
      </c>
      <c r="N628" s="61" t="s">
        <v>3443</v>
      </c>
      <c r="O628" s="158" t="s">
        <v>3484</v>
      </c>
      <c r="P628" s="121"/>
      <c r="Q628" s="132"/>
      <c r="R628" s="132"/>
      <c r="U628" s="132"/>
      <c r="V628" s="132"/>
      <c r="W628" s="132"/>
      <c r="Y628" s="196"/>
      <c r="Z628" s="121"/>
      <c r="AA628" s="187" t="s">
        <v>3485</v>
      </c>
      <c r="AB628" s="187" t="s">
        <v>913</v>
      </c>
      <c r="AD628">
        <f t="shared" si="9"/>
        <v>1</v>
      </c>
    </row>
    <row r="629" spans="1:30" ht="13" customHeight="1" x14ac:dyDescent="0.35">
      <c r="A629" s="120" t="s">
        <v>69</v>
      </c>
      <c r="B629" s="121" t="s">
        <v>70</v>
      </c>
      <c r="C629" s="121"/>
      <c r="D629" s="121" t="s">
        <v>3486</v>
      </c>
      <c r="E629" s="132" t="s">
        <v>3440</v>
      </c>
      <c r="F629" s="122" t="s">
        <v>73</v>
      </c>
      <c r="G629" s="121"/>
      <c r="H629" s="123"/>
      <c r="I629" s="133" t="s">
        <v>3487</v>
      </c>
      <c r="J629" s="189"/>
      <c r="K629" s="132"/>
      <c r="L629" s="135" t="s">
        <v>3442</v>
      </c>
      <c r="M629" s="135" t="s">
        <v>3006</v>
      </c>
      <c r="N629" s="135" t="s">
        <v>3443</v>
      </c>
      <c r="O629" s="124" t="s">
        <v>3488</v>
      </c>
      <c r="P629" s="136"/>
      <c r="Q629" s="132"/>
      <c r="R629" s="132" t="s">
        <v>78</v>
      </c>
      <c r="S629" s="137" t="s">
        <v>556</v>
      </c>
      <c r="T629" s="137" t="s">
        <v>3489</v>
      </c>
      <c r="U629" s="132" t="s">
        <v>3490</v>
      </c>
      <c r="V629" s="132"/>
      <c r="W629" s="132"/>
      <c r="X629" s="137"/>
      <c r="Y629" s="121"/>
      <c r="Z629" s="121"/>
      <c r="AA629" s="187" t="s">
        <v>3491</v>
      </c>
      <c r="AB629" s="126"/>
      <c r="AD629">
        <f t="shared" si="9"/>
        <v>2</v>
      </c>
    </row>
    <row r="630" spans="1:30" ht="13" customHeight="1" x14ac:dyDescent="0.35">
      <c r="A630" s="120" t="s">
        <v>32</v>
      </c>
      <c r="B630" s="121" t="s">
        <v>48</v>
      </c>
      <c r="C630" s="121"/>
      <c r="D630" s="121" t="s">
        <v>49</v>
      </c>
      <c r="E630" s="125" t="s">
        <v>3492</v>
      </c>
      <c r="F630" s="122" t="s">
        <v>235</v>
      </c>
      <c r="G630" s="121" t="s">
        <v>174</v>
      </c>
      <c r="H630" s="123"/>
      <c r="I630" s="141" t="s">
        <v>3493</v>
      </c>
      <c r="J630" s="125" t="s">
        <v>54</v>
      </c>
      <c r="K630" s="121" t="s">
        <v>55</v>
      </c>
      <c r="L630" s="21" t="s">
        <v>3494</v>
      </c>
      <c r="M630" s="181" t="s">
        <v>777</v>
      </c>
      <c r="N630" s="181"/>
      <c r="O630" s="180" t="s">
        <v>3495</v>
      </c>
      <c r="P630" s="125" t="s">
        <v>66</v>
      </c>
      <c r="Q630" s="125" t="s">
        <v>67</v>
      </c>
      <c r="R630" s="125" t="s">
        <v>118</v>
      </c>
      <c r="U630" s="121"/>
      <c r="V630" s="121"/>
      <c r="W630" s="121"/>
      <c r="Y630" s="121"/>
      <c r="Z630" s="121"/>
      <c r="AA630" s="187" t="s">
        <v>3496</v>
      </c>
      <c r="AB630" s="126"/>
      <c r="AD630">
        <f t="shared" si="9"/>
        <v>1</v>
      </c>
    </row>
    <row r="631" spans="1:30" ht="13" customHeight="1" x14ac:dyDescent="0.35">
      <c r="A631" s="120" t="s">
        <v>69</v>
      </c>
      <c r="B631" s="121" t="s">
        <v>33</v>
      </c>
      <c r="C631" s="121" t="s">
        <v>799</v>
      </c>
      <c r="D631" s="121"/>
      <c r="E631" s="132" t="s">
        <v>3482</v>
      </c>
      <c r="F631" s="122" t="s">
        <v>136</v>
      </c>
      <c r="G631" s="121"/>
      <c r="H631" s="123" t="s">
        <v>882</v>
      </c>
      <c r="J631" s="121"/>
      <c r="K631" s="121"/>
      <c r="L631" s="61" t="s">
        <v>3483</v>
      </c>
      <c r="M631" s="61" t="s">
        <v>552</v>
      </c>
      <c r="N631" s="61" t="s">
        <v>3443</v>
      </c>
      <c r="O631" s="158" t="s">
        <v>3484</v>
      </c>
      <c r="P631" s="121"/>
      <c r="Q631" s="132"/>
      <c r="R631" s="132"/>
      <c r="U631" s="132"/>
      <c r="V631" s="132"/>
      <c r="W631" s="132"/>
      <c r="Y631" s="196"/>
      <c r="Z631" s="121"/>
      <c r="AA631" s="187" t="s">
        <v>3497</v>
      </c>
      <c r="AB631" s="187" t="s">
        <v>913</v>
      </c>
      <c r="AD631">
        <f t="shared" si="9"/>
        <v>1</v>
      </c>
    </row>
    <row r="632" spans="1:30" ht="13" customHeight="1" x14ac:dyDescent="0.35">
      <c r="A632" s="120" t="s">
        <v>32</v>
      </c>
      <c r="B632" s="121"/>
      <c r="C632" s="121"/>
      <c r="D632" s="121" t="s">
        <v>274</v>
      </c>
      <c r="E632" s="132" t="s">
        <v>3498</v>
      </c>
      <c r="F632" s="122" t="s">
        <v>136</v>
      </c>
      <c r="G632" s="121"/>
      <c r="H632" s="123"/>
      <c r="J632" s="121"/>
      <c r="K632" s="121"/>
      <c r="L632" s="61"/>
      <c r="M632" s="61" t="s">
        <v>3499</v>
      </c>
      <c r="N632" s="61" t="s">
        <v>3500</v>
      </c>
      <c r="O632" s="158" t="s">
        <v>3501</v>
      </c>
      <c r="P632" s="121" t="s">
        <v>58</v>
      </c>
      <c r="Q632" s="190" t="s">
        <v>820</v>
      </c>
      <c r="R632" s="132"/>
      <c r="U632" s="132"/>
      <c r="V632" s="132"/>
      <c r="W632" s="132"/>
      <c r="Y632" s="196"/>
      <c r="Z632" s="121"/>
      <c r="AA632" s="187" t="s">
        <v>3502</v>
      </c>
      <c r="AB632" s="187" t="s">
        <v>3503</v>
      </c>
    </row>
    <row r="633" spans="1:30" ht="13" customHeight="1" x14ac:dyDescent="0.35">
      <c r="A633" s="120" t="s">
        <v>32</v>
      </c>
      <c r="B633" s="121"/>
      <c r="C633" s="121"/>
      <c r="D633" s="121" t="s">
        <v>274</v>
      </c>
      <c r="E633" s="132" t="s">
        <v>3504</v>
      </c>
      <c r="F633" s="122" t="s">
        <v>103</v>
      </c>
      <c r="G633" s="121"/>
      <c r="H633" s="123"/>
      <c r="J633" s="121"/>
      <c r="K633" s="121"/>
      <c r="L633" s="61"/>
      <c r="M633" s="61"/>
      <c r="N633" s="61" t="s">
        <v>3505</v>
      </c>
      <c r="O633" s="158"/>
      <c r="P633" s="121" t="s">
        <v>58</v>
      </c>
      <c r="Q633" s="190" t="s">
        <v>820</v>
      </c>
      <c r="R633" s="132"/>
      <c r="U633" s="132"/>
      <c r="V633" s="132"/>
      <c r="W633" s="132"/>
      <c r="Y633" s="196"/>
      <c r="Z633" s="121"/>
      <c r="AA633" s="187" t="s">
        <v>3506</v>
      </c>
      <c r="AB633" s="187" t="s">
        <v>3507</v>
      </c>
    </row>
    <row r="634" spans="1:30" ht="13" customHeight="1" x14ac:dyDescent="0.35">
      <c r="A634" s="120" t="s">
        <v>32</v>
      </c>
      <c r="B634" s="121"/>
      <c r="C634" s="121"/>
      <c r="D634" s="121" t="s">
        <v>274</v>
      </c>
      <c r="E634" s="132" t="s">
        <v>3508</v>
      </c>
      <c r="F634" s="122" t="s">
        <v>136</v>
      </c>
      <c r="G634" s="121"/>
      <c r="H634" s="123"/>
      <c r="J634" s="121"/>
      <c r="K634" s="121"/>
      <c r="L634" s="61"/>
      <c r="M634" s="61" t="s">
        <v>3499</v>
      </c>
      <c r="N634" s="61" t="s">
        <v>3505</v>
      </c>
      <c r="O634" s="158" t="s">
        <v>3509</v>
      </c>
      <c r="P634" s="121" t="s">
        <v>58</v>
      </c>
      <c r="Q634" s="190" t="s">
        <v>820</v>
      </c>
      <c r="R634" s="132"/>
      <c r="U634" s="132"/>
      <c r="V634" s="132"/>
      <c r="W634" s="132"/>
      <c r="Y634" s="196"/>
      <c r="Z634" s="121"/>
      <c r="AA634" s="187" t="s">
        <v>3510</v>
      </c>
      <c r="AB634" s="187" t="s">
        <v>3507</v>
      </c>
    </row>
    <row r="635" spans="1:30" ht="13" customHeight="1" x14ac:dyDescent="0.35">
      <c r="A635" s="120" t="s">
        <v>32</v>
      </c>
      <c r="B635" s="121"/>
      <c r="C635" s="121"/>
      <c r="D635" s="121" t="s">
        <v>274</v>
      </c>
      <c r="E635" s="132" t="s">
        <v>3511</v>
      </c>
      <c r="F635" s="122" t="s">
        <v>136</v>
      </c>
      <c r="G635" s="121"/>
      <c r="H635" s="123"/>
      <c r="J635" s="121"/>
      <c r="K635" s="121"/>
      <c r="L635" s="61" t="s">
        <v>3512</v>
      </c>
      <c r="M635" s="61" t="s">
        <v>3499</v>
      </c>
      <c r="N635" s="61" t="s">
        <v>3513</v>
      </c>
      <c r="O635" s="158" t="s">
        <v>3514</v>
      </c>
      <c r="P635" s="121" t="s">
        <v>58</v>
      </c>
      <c r="Q635" s="190" t="s">
        <v>820</v>
      </c>
      <c r="R635" s="132"/>
      <c r="U635" s="132"/>
      <c r="V635" s="132"/>
      <c r="W635" s="132"/>
      <c r="Y635" s="196"/>
      <c r="Z635" s="121"/>
      <c r="AA635" s="187" t="s">
        <v>3515</v>
      </c>
      <c r="AB635" s="187" t="s">
        <v>3507</v>
      </c>
    </row>
    <row r="636" spans="1:30" ht="13" customHeight="1" x14ac:dyDescent="0.35">
      <c r="A636" s="120" t="s">
        <v>32</v>
      </c>
      <c r="B636" s="121"/>
      <c r="C636" s="121"/>
      <c r="D636" s="121" t="s">
        <v>274</v>
      </c>
      <c r="E636" s="132" t="s">
        <v>3516</v>
      </c>
      <c r="F636" s="122" t="s">
        <v>136</v>
      </c>
      <c r="G636" s="121"/>
      <c r="H636" s="123"/>
      <c r="J636" s="121"/>
      <c r="K636" s="121"/>
      <c r="L636" s="61"/>
      <c r="M636" s="61" t="s">
        <v>3517</v>
      </c>
      <c r="N636" s="61" t="s">
        <v>3518</v>
      </c>
      <c r="O636" s="158" t="s">
        <v>3519</v>
      </c>
      <c r="P636" s="121" t="s">
        <v>58</v>
      </c>
      <c r="Q636" s="190" t="s">
        <v>820</v>
      </c>
      <c r="R636" s="132"/>
      <c r="U636" s="132"/>
      <c r="V636" s="132"/>
      <c r="W636" s="132"/>
      <c r="Y636" s="196"/>
      <c r="Z636" s="121"/>
      <c r="AA636" s="187" t="s">
        <v>3520</v>
      </c>
      <c r="AB636" s="187" t="s">
        <v>3507</v>
      </c>
    </row>
    <row r="637" spans="1:30" ht="13" customHeight="1" x14ac:dyDescent="0.35">
      <c r="A637" s="120" t="s">
        <v>32</v>
      </c>
      <c r="B637" s="121" t="s">
        <v>48</v>
      </c>
      <c r="C637" s="121"/>
      <c r="D637" s="121" t="s">
        <v>172</v>
      </c>
      <c r="E637" s="132" t="s">
        <v>1490</v>
      </c>
      <c r="F637" s="122" t="s">
        <v>235</v>
      </c>
      <c r="G637" s="121" t="s">
        <v>52</v>
      </c>
      <c r="H637" s="123"/>
      <c r="I637" s="195" t="s">
        <v>3521</v>
      </c>
      <c r="J637" s="121" t="s">
        <v>176</v>
      </c>
      <c r="K637" s="121" t="s">
        <v>132</v>
      </c>
      <c r="L637" s="61" t="s">
        <v>1985</v>
      </c>
      <c r="M637" s="61" t="s">
        <v>1827</v>
      </c>
      <c r="N637" s="61"/>
      <c r="O637" s="158" t="s">
        <v>3522</v>
      </c>
      <c r="P637" s="121" t="s">
        <v>142</v>
      </c>
      <c r="Q637" s="190" t="s">
        <v>67</v>
      </c>
      <c r="R637" s="132" t="s">
        <v>118</v>
      </c>
      <c r="U637" s="132"/>
      <c r="V637" s="132"/>
      <c r="W637" s="132"/>
      <c r="Y637" s="196"/>
      <c r="Z637" s="121"/>
      <c r="AA637" s="187" t="s">
        <v>3523</v>
      </c>
      <c r="AB637" s="187" t="s">
        <v>274</v>
      </c>
    </row>
    <row r="638" spans="1:30" ht="12.9" customHeight="1" x14ac:dyDescent="0.35">
      <c r="A638" s="120"/>
      <c r="B638" s="121"/>
      <c r="C638" s="121"/>
      <c r="D638" s="121"/>
      <c r="E638" s="132" t="s">
        <v>3524</v>
      </c>
      <c r="F638" s="122"/>
      <c r="G638" s="121"/>
      <c r="H638" s="123"/>
      <c r="I638" s="195"/>
      <c r="J638" s="121"/>
      <c r="K638" s="121"/>
      <c r="L638" s="61"/>
      <c r="M638" s="61"/>
      <c r="N638" s="61"/>
      <c r="O638" s="158"/>
      <c r="P638" s="121"/>
      <c r="Q638" s="190"/>
      <c r="R638" s="132"/>
      <c r="U638" s="132"/>
      <c r="V638" s="132"/>
      <c r="W638" s="132"/>
      <c r="Y638" s="196"/>
      <c r="Z638" s="121"/>
      <c r="AA638" s="187" t="s">
        <v>3525</v>
      </c>
      <c r="AB638" s="187"/>
    </row>
    <row r="639" spans="1:30" ht="12.9" customHeight="1" x14ac:dyDescent="0.35">
      <c r="A639" s="120" t="s">
        <v>69</v>
      </c>
      <c r="B639" s="121" t="s">
        <v>33</v>
      </c>
      <c r="C639" s="121" t="s">
        <v>799</v>
      </c>
      <c r="D639" s="121"/>
      <c r="E639" s="132" t="s">
        <v>3526</v>
      </c>
      <c r="F639" s="122" t="s">
        <v>103</v>
      </c>
      <c r="G639" s="121"/>
      <c r="H639" s="123"/>
      <c r="J639" s="121"/>
      <c r="K639" s="121"/>
      <c r="L639" s="61"/>
      <c r="M639" s="61"/>
      <c r="N639" s="61"/>
      <c r="O639" s="158"/>
      <c r="P639" s="121"/>
      <c r="Q639" s="132"/>
      <c r="R639" s="132"/>
      <c r="U639" s="132"/>
      <c r="V639" s="132"/>
      <c r="W639" s="132"/>
      <c r="Y639" s="196"/>
      <c r="Z639" s="121"/>
      <c r="AA639" s="187" t="s">
        <v>3527</v>
      </c>
      <c r="AB639" s="187"/>
    </row>
    <row r="640" spans="1:30" ht="12.9" customHeight="1" x14ac:dyDescent="0.35">
      <c r="A640" s="120" t="s">
        <v>69</v>
      </c>
      <c r="B640" s="121" t="s">
        <v>33</v>
      </c>
      <c r="C640" s="121" t="s">
        <v>799</v>
      </c>
      <c r="D640" s="121"/>
      <c r="E640" s="132" t="s">
        <v>3528</v>
      </c>
      <c r="F640" s="122" t="s">
        <v>35</v>
      </c>
      <c r="G640" s="121"/>
      <c r="H640" s="123"/>
      <c r="J640" s="121"/>
      <c r="K640" s="121"/>
      <c r="L640" s="61"/>
      <c r="M640" s="61"/>
      <c r="N640" s="61"/>
      <c r="O640" s="158"/>
      <c r="P640" s="121"/>
      <c r="Q640" s="132"/>
      <c r="R640" s="132"/>
      <c r="U640" s="132"/>
      <c r="V640" s="132"/>
      <c r="W640" s="132"/>
      <c r="Y640" s="196"/>
      <c r="Z640" s="121" t="s">
        <v>228</v>
      </c>
      <c r="AA640" s="187" t="s">
        <v>3529</v>
      </c>
      <c r="AB640" s="187"/>
    </row>
    <row r="641" spans="1:28" ht="12.9" customHeight="1" x14ac:dyDescent="0.35">
      <c r="A641" s="120" t="s">
        <v>69</v>
      </c>
      <c r="B641" s="121"/>
      <c r="C641" s="121"/>
      <c r="D641" s="121"/>
      <c r="E641" s="132" t="s">
        <v>1329</v>
      </c>
      <c r="F641" s="122"/>
      <c r="G641" s="121"/>
      <c r="H641" s="123"/>
      <c r="I641" s="195"/>
      <c r="J641" s="121"/>
      <c r="K641" s="121"/>
      <c r="L641" s="61"/>
      <c r="M641" s="61"/>
      <c r="N641" s="61"/>
      <c r="O641" s="158"/>
      <c r="P641" s="121"/>
      <c r="Q641" s="190"/>
      <c r="R641" s="132"/>
      <c r="U641" s="132"/>
      <c r="V641" s="132"/>
      <c r="W641" s="132"/>
      <c r="Y641" s="196"/>
      <c r="Z641" s="121"/>
      <c r="AA641" s="187" t="s">
        <v>3530</v>
      </c>
      <c r="AB641" s="187"/>
    </row>
    <row r="642" spans="1:28" ht="12.9" customHeight="1" x14ac:dyDescent="0.35">
      <c r="A642" s="120" t="s">
        <v>69</v>
      </c>
      <c r="B642" s="121" t="s">
        <v>33</v>
      </c>
      <c r="C642" s="121"/>
      <c r="D642" s="121"/>
      <c r="E642" s="132" t="s">
        <v>3524</v>
      </c>
      <c r="F642" s="122" t="s">
        <v>103</v>
      </c>
      <c r="G642" s="121"/>
      <c r="H642" s="123"/>
      <c r="I642" s="195"/>
      <c r="J642" s="121"/>
      <c r="K642" s="121"/>
      <c r="L642" s="61"/>
      <c r="M642" s="61"/>
      <c r="N642" s="61"/>
      <c r="O642" s="158"/>
      <c r="P642" s="121"/>
      <c r="Q642" s="190"/>
      <c r="R642" s="132"/>
      <c r="U642" s="132"/>
      <c r="V642" s="132"/>
      <c r="W642" s="132"/>
      <c r="Y642" s="196"/>
      <c r="Z642" s="121"/>
      <c r="AA642" s="187" t="s">
        <v>3531</v>
      </c>
      <c r="AB642" s="187" t="s">
        <v>1446</v>
      </c>
    </row>
    <row r="643" spans="1:28" ht="12.9" customHeight="1" x14ac:dyDescent="0.35">
      <c r="A643" s="120" t="s">
        <v>69</v>
      </c>
      <c r="B643" s="121" t="s">
        <v>879</v>
      </c>
      <c r="C643" s="121" t="s">
        <v>880</v>
      </c>
      <c r="D643" s="121"/>
      <c r="E643" s="132" t="s">
        <v>3532</v>
      </c>
      <c r="F643" s="122" t="s">
        <v>136</v>
      </c>
      <c r="G643" s="121"/>
      <c r="H643" s="123" t="s">
        <v>882</v>
      </c>
      <c r="J643" s="121"/>
      <c r="K643" s="121"/>
      <c r="L643" s="61"/>
      <c r="M643" s="61"/>
      <c r="N643" s="61"/>
      <c r="O643" s="158"/>
      <c r="P643" s="121"/>
      <c r="Q643" s="132"/>
      <c r="R643" s="132"/>
      <c r="U643" s="132"/>
      <c r="V643" s="132"/>
      <c r="W643" s="132"/>
      <c r="Y643" s="196"/>
      <c r="Z643" s="121"/>
      <c r="AA643" s="187" t="s">
        <v>3533</v>
      </c>
      <c r="AB643" s="187" t="s">
        <v>913</v>
      </c>
    </row>
    <row r="644" spans="1:28" ht="12.9" customHeight="1" x14ac:dyDescent="0.35">
      <c r="A644" s="120" t="s">
        <v>69</v>
      </c>
      <c r="B644" s="121" t="s">
        <v>33</v>
      </c>
      <c r="C644" s="121" t="s">
        <v>799</v>
      </c>
      <c r="D644" s="121"/>
      <c r="E644" s="132" t="s">
        <v>3534</v>
      </c>
      <c r="F644" s="122" t="s">
        <v>3102</v>
      </c>
      <c r="G644" s="121"/>
      <c r="H644" s="123" t="s">
        <v>3535</v>
      </c>
      <c r="J644" s="121"/>
      <c r="K644" s="121"/>
      <c r="L644" s="61" t="s">
        <v>3536</v>
      </c>
      <c r="M644" s="61"/>
      <c r="N644" s="61"/>
      <c r="O644" s="158"/>
      <c r="P644" s="121"/>
      <c r="Q644" s="190" t="s">
        <v>820</v>
      </c>
      <c r="R644" s="132"/>
      <c r="U644" s="132"/>
      <c r="V644" s="132"/>
      <c r="W644" s="132"/>
      <c r="Y644" s="196"/>
      <c r="Z644" s="121"/>
      <c r="AA644" s="187" t="s">
        <v>3537</v>
      </c>
      <c r="AB644" s="187" t="s">
        <v>3538</v>
      </c>
    </row>
  </sheetData>
  <autoFilter ref="AD1:AD462" xr:uid="{5B9BC670-780F-497F-8E74-EC042280C2FE}"/>
  <conditionalFormatting sqref="F1:F1048576">
    <cfRule type="cellIs" dxfId="52" priority="3" operator="equal">
      <formula>"Migration Completed"</formula>
    </cfRule>
    <cfRule type="cellIs" dxfId="51" priority="4" operator="equal">
      <formula>"Other"</formula>
    </cfRule>
    <cfRule type="cellIs" dxfId="50" priority="5" operator="equal">
      <formula>"Ready for Migration"</formula>
    </cfRule>
    <cfRule type="cellIs" dxfId="49" priority="6" operator="equal">
      <formula>"Pre-Migration"</formula>
    </cfRule>
    <cfRule type="cellIs" dxfId="48" priority="7" operator="equal">
      <formula>"Follow Up Sent"</formula>
    </cfRule>
    <cfRule type="cellIs" dxfId="47" priority="8" operator="equal">
      <formula>"Email Sent"</formula>
    </cfRule>
    <cfRule type="cellIs" dxfId="46" priority="9" operator="equal">
      <formula>"Decommissioned"</formula>
    </cfRule>
    <cfRule type="cellIs" dxfId="45" priority="10" operator="equal">
      <formula>"Confirmed Active"</formula>
    </cfRule>
    <cfRule type="cellIs" dxfId="44" priority="11" operator="equal">
      <formula>"Not Started"</formula>
    </cfRule>
    <cfRule type="cellIs" dxfId="43" priority="12" operator="equal">
      <formula>"Conversation Ongoing"</formula>
    </cfRule>
    <cfRule type="cellIs" dxfId="42" priority="13" operator="equal">
      <formula>"Blocked"</formula>
    </cfRule>
  </conditionalFormatting>
  <conditionalFormatting sqref="AA1">
    <cfRule type="duplicateValues" dxfId="41" priority="14"/>
    <cfRule type="duplicateValues" dxfId="40" priority="15"/>
  </conditionalFormatting>
  <conditionalFormatting sqref="AA382:AA580 AA2:AA379">
    <cfRule type="duplicateValues" dxfId="39" priority="22"/>
    <cfRule type="duplicateValues" dxfId="38" priority="23"/>
    <cfRule type="duplicateValues" dxfId="37" priority="24"/>
  </conditionalFormatting>
  <conditionalFormatting sqref="AA380">
    <cfRule type="duplicateValues" dxfId="36" priority="19"/>
    <cfRule type="duplicateValues" dxfId="35" priority="20"/>
    <cfRule type="duplicateValues" dxfId="34" priority="21"/>
  </conditionalFormatting>
  <conditionalFormatting sqref="AA381">
    <cfRule type="duplicateValues" dxfId="33" priority="16"/>
    <cfRule type="duplicateValues" dxfId="32" priority="17"/>
    <cfRule type="duplicateValues" dxfId="31" priority="18"/>
  </conditionalFormatting>
  <conditionalFormatting sqref="AA382:AA533 AA2:AA379">
    <cfRule type="duplicateValues" dxfId="30" priority="25"/>
    <cfRule type="duplicateValues" dxfId="29" priority="26"/>
  </conditionalFormatting>
  <conditionalFormatting sqref="AA552">
    <cfRule type="duplicateValues" dxfId="28" priority="1"/>
    <cfRule type="duplicateValues" dxfId="27" priority="2"/>
  </conditionalFormatting>
  <dataValidations count="1">
    <dataValidation type="list" allowBlank="1" showInputMessage="1" showErrorMessage="1" sqref="F1:F644" xr:uid="{96F4AC8F-57EF-42C6-84D4-459F8445FAF5}">
      <formula1>"Not Started,Email Sent,Follow Up Sent,Conversation Ongoing,Blocked,Confirmed Active,Decommissioned,Pre-Migration,Ready for Migration,Migration Completed,Other"</formula1>
    </dataValidation>
  </dataValidations>
  <hyperlinks>
    <hyperlink ref="O524" r:id="rId1" xr:uid="{96136561-32DA-4ED4-974C-E19D44B24B63}"/>
    <hyperlink ref="L81" r:id="rId2" xr:uid="{8E54B912-2B5B-4502-A967-D05A7C2CBB48}"/>
    <hyperlink ref="O525" r:id="rId3" display="JPAGANO@orthonet-online.com" xr:uid="{E6162502-CA60-4CBF-9D9C-B4C359C2B2A5}"/>
    <hyperlink ref="O562" r:id="rId4" xr:uid="{92423DCC-996D-45D2-B098-2442A9457BCB}"/>
    <hyperlink ref="Q507" r:id="rId5" xr:uid="{B6EFBA44-C021-40AE-96B2-D5F353E90146}"/>
    <hyperlink ref="O255" r:id="rId6" display="mailto:support@clearobject.com" xr:uid="{FA5CCB40-302A-499D-BF9C-7BB05851F9F9}"/>
    <hyperlink ref="L255" r:id="rId7" xr:uid="{FB21923C-3C89-49FB-B4D8-1197C1DF4221}"/>
    <hyperlink ref="O547" r:id="rId8" display="mailto:jbourgery@colospace.com" xr:uid="{D38F8399-B264-4973-B790-6D0FC5FADABD}"/>
    <hyperlink ref="O20" r:id="rId9" xr:uid="{011A85FB-2456-4529-9DCC-E96AA0A5BED7}"/>
    <hyperlink ref="O536" r:id="rId10" display="cahmad@selmanco.com " xr:uid="{D8F4732F-3FE3-4AB9-AE3A-ED862C7DC4DF}"/>
    <hyperlink ref="L91" r:id="rId11" display="HowardT4@AETNA.com           860-273-5791" xr:uid="{9B531A0D-0FE2-4A01-8E4C-2C1981ED714A}"/>
    <hyperlink ref="O129" r:id="rId12" display="Thomas.Casey@teradata.com" xr:uid="{904ED405-BAB2-44C5-877D-1280D49706EF}"/>
    <hyperlink ref="O168" r:id="rId13" xr:uid="{79131CC0-6DBC-4FBD-A96D-1CB53FF29DBC}"/>
    <hyperlink ref="O229" r:id="rId14" display="SAM.CARLISLE@ORACLE.COM" xr:uid="{E149987C-9436-46B2-9C3B-8FF7366A7934}"/>
    <hyperlink ref="O165" r:id="rId15" xr:uid="{88A53770-1F9D-4FB5-ACC3-7B1995335BA2}"/>
    <hyperlink ref="O386" r:id="rId16" xr:uid="{433797D5-96B0-46FE-AE6C-CC16C8BDC378}"/>
    <hyperlink ref="O280" r:id="rId17" xr:uid="{33680F7F-6FBB-4EBD-B75E-251C2C428DC8}"/>
    <hyperlink ref="O206" r:id="rId18" display="nicole.kueker@concentrix.com" xr:uid="{6DF507BE-C45D-475F-93F8-BCCB3E30A731}"/>
    <hyperlink ref="L502" r:id="rId19" xr:uid="{56DD8F1A-589E-4619-8392-FBF39EC655FB}"/>
    <hyperlink ref="L517" r:id="rId20" xr:uid="{67E8746C-AFDB-4F54-A989-10260E73DEBC}"/>
    <hyperlink ref="L122" r:id="rId21" xr:uid="{D2686D2C-F027-457C-87A8-5B50FB1FEBBA}"/>
    <hyperlink ref="L551" r:id="rId22" xr:uid="{9722401E-6CDC-4C49-A2F2-1D979B0FC3B9}"/>
    <hyperlink ref="L484" r:id="rId23" xr:uid="{D15A19ED-3910-4940-A808-FE4A5E31793D}"/>
    <hyperlink ref="O432" r:id="rId24" xr:uid="{7F7AA5F6-F3D7-4E28-A0FA-ED20D9A0DB55}"/>
    <hyperlink ref="O93" r:id="rId25" display="michele.petruzziello@microsoft.com" xr:uid="{0F972FB2-3CA9-4BD9-927C-0D3DE53096D0}"/>
  </hyperlinks>
  <pageMargins left="0.7" right="0.7" top="0.75" bottom="0.75" header="0.3" footer="0.3"/>
  <pageSetup orientation="portrait" r:id="rId26"/>
  <tableParts count="1">
    <tablePart r:id="rId2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Status Information</vt:lpstr>
      <vt:lpstr>Connections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 Eric</dc:creator>
  <cp:lastModifiedBy>Lang, Eric</cp:lastModifiedBy>
  <dcterms:created xsi:type="dcterms:W3CDTF">2026-06-10T19:42:30Z</dcterms:created>
  <dcterms:modified xsi:type="dcterms:W3CDTF">2026-06-10T20:54:53Z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2026-06-10T19:42:36Z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ab0faec2-3dca-4003-8ebb-8e9400d28276</vt:lpwstr>
  </property>
  <property fmtid="{D5CDD505-2E9C-101B-9397-08002B2CF9AE}" pid="8" name="MSIP_Label_1ecdf243-b9b0-4f63-8694-76742e4201b7_ContentBits">
    <vt:lpwstr>0</vt:lpwstr>
  </property>
  <property fmtid="{D5CDD505-2E9C-101B-9397-08002B2CF9AE}" pid="9" name="MSIP_Label_1ecdf243-b9b0-4f63-8694-76742e4201b7_Tag">
    <vt:lpwstr>10, 3, 0, 1</vt:lpwstr>
  </property>
</Properties>
</file>